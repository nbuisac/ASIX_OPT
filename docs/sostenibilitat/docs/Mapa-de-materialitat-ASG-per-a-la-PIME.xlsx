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X:\06319\qtU03010\Seccio_Producció_Consum_Sostenible\Ssq_Finances sostenibles\SOSTENIBILITAT PIMES\DOCS AMB REVISIÓ LINGÜISTICA\DOCS MAPA I GUIA FINAL WEB\"/>
    </mc:Choice>
  </mc:AlternateContent>
  <bookViews>
    <workbookView xWindow="28680" yWindow="-5030" windowWidth="29040" windowHeight="15840" tabRatio="896" firstSheet="1" activeTab="2"/>
  </bookViews>
  <sheets>
    <sheet name="CNAE" sheetId="16" state="hidden" r:id="rId1"/>
    <sheet name="Crèdits" sheetId="59" r:id="rId2"/>
    <sheet name="Mapa de materialitat" sheetId="1" r:id="rId3"/>
    <sheet name="AUTO" sheetId="15" state="hidden" r:id="rId4"/>
    <sheet name="Fuentes" sheetId="23" state="hidden" r:id="rId5"/>
    <sheet name="Aliments i Begudes" sheetId="39" r:id="rId6"/>
    <sheet name="Moda i tèxtil" sheetId="40" r:id="rId7"/>
    <sheet name="Fusta i Paper" sheetId="41" r:id="rId8"/>
    <sheet name="Tractament de Residus i Aigua" sheetId="42" r:id="rId9"/>
    <sheet name="Construcció" sheetId="44" r:id="rId10"/>
    <sheet name="Arquitectura i Enginyeria" sheetId="45" r:id="rId11"/>
    <sheet name="Venda i Reparació de Vehicles" sheetId="58" r:id="rId12"/>
    <sheet name="Comerç a l'engròs" sheetId="57" r:id="rId13"/>
    <sheet name="Comerç al detall" sheetId="56" r:id="rId14"/>
    <sheet name="Transport terrestre" sheetId="54" r:id="rId15"/>
    <sheet name="Transport Ferroviari" sheetId="55" state="hidden" r:id="rId16"/>
    <sheet name="Hoteleria" sheetId="47" r:id="rId17"/>
    <sheet name="Serveis IT" sheetId="52" r:id="rId18"/>
    <sheet name="Serveis Professionals" sheetId="51" r:id="rId19"/>
    <sheet name="Immobiliària" sheetId="48" r:id="rId20"/>
    <sheet name="Publicitat i Màrqueting" sheetId="46" r:id="rId21"/>
    <sheet name="Serveis d'ocupació" sheetId="53" r:id="rId22"/>
    <sheet name="Educació" sheetId="49" r:id="rId23"/>
    <sheet name="Sanitat" sheetId="50" r:id="rId2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9" l="1"/>
  <c r="J7" i="49" l="1"/>
  <c r="H7" i="53"/>
  <c r="G10" i="46"/>
  <c r="G7" i="48"/>
  <c r="H7" i="51"/>
  <c r="I7" i="52"/>
  <c r="H7" i="56"/>
  <c r="H7" i="57"/>
  <c r="F7" i="58"/>
  <c r="I7" i="45"/>
  <c r="J4" i="39"/>
  <c r="I4" i="39"/>
  <c r="E4" i="39"/>
  <c r="F4" i="39"/>
  <c r="D11" i="44"/>
  <c r="D11" i="42"/>
  <c r="D11" i="41" l="1"/>
  <c r="E7" i="41"/>
  <c r="D7" i="40" l="1"/>
  <c r="D10" i="40"/>
  <c r="D4" i="45" l="1"/>
  <c r="D4" i="44"/>
  <c r="E27" i="52"/>
  <c r="E7" i="42"/>
  <c r="K4" i="41"/>
  <c r="H4" i="40" l="1"/>
  <c r="D4" i="50" l="1"/>
  <c r="D4" i="40"/>
  <c r="E4" i="57"/>
  <c r="D4" i="57"/>
  <c r="F7" i="56"/>
  <c r="F7" i="53"/>
  <c r="E7" i="53"/>
  <c r="D10" i="41" l="1"/>
  <c r="G4" i="40"/>
  <c r="J4" i="40"/>
  <c r="I4" i="40"/>
  <c r="E7" i="40"/>
  <c r="D4" i="39" l="1"/>
  <c r="D11" i="45"/>
  <c r="D11" i="48"/>
  <c r="D11" i="46"/>
  <c r="D11" i="47"/>
  <c r="D11" i="49"/>
  <c r="D11" i="50"/>
  <c r="D11" i="51"/>
  <c r="D11" i="52"/>
  <c r="D11" i="53"/>
  <c r="D11" i="54"/>
  <c r="D11" i="55"/>
  <c r="D11" i="56"/>
  <c r="D11" i="57"/>
  <c r="D11" i="58"/>
  <c r="F10" i="58"/>
  <c r="E10" i="58"/>
  <c r="D10" i="58"/>
  <c r="E7" i="58"/>
  <c r="D7" i="58"/>
  <c r="F4" i="58"/>
  <c r="G4" i="58"/>
  <c r="E4" i="58"/>
  <c r="D4" i="58"/>
  <c r="E10" i="57"/>
  <c r="D10" i="57"/>
  <c r="G7" i="57"/>
  <c r="F7" i="57"/>
  <c r="E7" i="57"/>
  <c r="D7" i="57"/>
  <c r="I4" i="57"/>
  <c r="H4" i="57"/>
  <c r="G4" i="57"/>
  <c r="F4" i="57"/>
  <c r="E10" i="56"/>
  <c r="D10" i="56"/>
  <c r="E7" i="56"/>
  <c r="D7" i="56"/>
  <c r="I4" i="56"/>
  <c r="H4" i="56"/>
  <c r="G4" i="56"/>
  <c r="F4" i="56"/>
  <c r="E4" i="56"/>
  <c r="D4" i="56"/>
  <c r="E10" i="55"/>
  <c r="D10" i="55"/>
  <c r="F7" i="55"/>
  <c r="E7" i="55"/>
  <c r="D7" i="55"/>
  <c r="E4" i="55"/>
  <c r="D4" i="55"/>
  <c r="E10" i="54"/>
  <c r="D10" i="54"/>
  <c r="G7" i="54"/>
  <c r="F7" i="54"/>
  <c r="E7" i="54"/>
  <c r="D7" i="54"/>
  <c r="F4" i="54"/>
  <c r="E4" i="54"/>
  <c r="D4" i="54"/>
  <c r="D10" i="53"/>
  <c r="G7" i="53"/>
  <c r="D7" i="53"/>
  <c r="D4" i="53"/>
  <c r="E10" i="52"/>
  <c r="D10" i="52"/>
  <c r="H7" i="52"/>
  <c r="G7" i="52"/>
  <c r="F7" i="52"/>
  <c r="E7" i="52"/>
  <c r="D7" i="52"/>
  <c r="F4" i="52"/>
  <c r="E4" i="52"/>
  <c r="D4" i="52"/>
  <c r="G10" i="51"/>
  <c r="F10" i="51"/>
  <c r="E10" i="51"/>
  <c r="D10" i="51"/>
  <c r="G7" i="51"/>
  <c r="F7" i="51"/>
  <c r="E7" i="51"/>
  <c r="D7" i="51"/>
  <c r="D4" i="51"/>
  <c r="F10" i="50"/>
  <c r="E10" i="50"/>
  <c r="D10" i="50"/>
  <c r="J7" i="50"/>
  <c r="I7" i="50"/>
  <c r="H7" i="50"/>
  <c r="G7" i="50"/>
  <c r="F7" i="50"/>
  <c r="E7" i="50"/>
  <c r="D7" i="50"/>
  <c r="G4" i="50"/>
  <c r="F4" i="50"/>
  <c r="E4" i="50"/>
  <c r="D10" i="49"/>
  <c r="I7" i="49"/>
  <c r="H7" i="49"/>
  <c r="G7" i="49"/>
  <c r="F7" i="49"/>
  <c r="E7" i="49"/>
  <c r="D7" i="49"/>
  <c r="D4" i="49"/>
  <c r="D10" i="48"/>
  <c r="F7" i="48"/>
  <c r="E7" i="48"/>
  <c r="D7" i="48"/>
  <c r="G4" i="48"/>
  <c r="F4" i="48"/>
  <c r="E4" i="48"/>
  <c r="D4" i="48"/>
  <c r="E10" i="47"/>
  <c r="D10" i="47"/>
  <c r="H7" i="47"/>
  <c r="G7" i="47"/>
  <c r="F7" i="47"/>
  <c r="E7" i="47"/>
  <c r="D7" i="47"/>
  <c r="H4" i="47"/>
  <c r="G4" i="47"/>
  <c r="F4" i="47"/>
  <c r="E4" i="47"/>
  <c r="D4" i="47"/>
  <c r="F10" i="46"/>
  <c r="E10" i="46"/>
  <c r="D10" i="46"/>
  <c r="G7" i="46"/>
  <c r="F7" i="46"/>
  <c r="E7" i="46"/>
  <c r="D7" i="46"/>
  <c r="D4" i="46"/>
  <c r="E10" i="45"/>
  <c r="D10" i="45"/>
  <c r="H7" i="45"/>
  <c r="G7" i="45"/>
  <c r="F7" i="45"/>
  <c r="E7" i="45"/>
  <c r="D7" i="45"/>
  <c r="I4" i="45"/>
  <c r="H4" i="45"/>
  <c r="G4" i="45"/>
  <c r="F4" i="45"/>
  <c r="E4" i="45"/>
  <c r="K4" i="44"/>
  <c r="F10" i="44"/>
  <c r="E10" i="44"/>
  <c r="D10" i="44"/>
  <c r="F7" i="44"/>
  <c r="E7" i="44"/>
  <c r="D7" i="44"/>
  <c r="J4" i="44"/>
  <c r="I4" i="44"/>
  <c r="H4" i="44"/>
  <c r="G4" i="44"/>
  <c r="F4" i="44"/>
  <c r="E4" i="44"/>
  <c r="E10" i="42"/>
  <c r="D10" i="42"/>
  <c r="F7" i="42"/>
  <c r="D7" i="42"/>
  <c r="I4" i="42"/>
  <c r="H4" i="42"/>
  <c r="G4" i="42"/>
  <c r="F4" i="42"/>
  <c r="E4" i="42"/>
  <c r="D4" i="42"/>
  <c r="D7" i="41"/>
  <c r="J4" i="41"/>
  <c r="I4" i="41"/>
  <c r="H4" i="41"/>
  <c r="G4" i="41"/>
  <c r="F4" i="41"/>
  <c r="E4" i="41"/>
  <c r="D4" i="41"/>
  <c r="E10" i="40"/>
  <c r="G7" i="40"/>
  <c r="F7" i="40"/>
  <c r="F4" i="40"/>
  <c r="E4" i="40"/>
  <c r="E10" i="39"/>
  <c r="D10" i="39"/>
  <c r="I7" i="39"/>
  <c r="H7" i="39"/>
  <c r="G7" i="39"/>
  <c r="E7" i="39"/>
  <c r="D7" i="39"/>
  <c r="K4" i="39"/>
  <c r="H4" i="39"/>
  <c r="G4" i="39"/>
  <c r="E20" i="1"/>
  <c r="E24" i="1"/>
  <c r="E23" i="1"/>
  <c r="E9" i="1"/>
  <c r="D678" i="16"/>
  <c r="D345" i="16"/>
  <c r="C678" i="16" s="1"/>
  <c r="D677" i="16"/>
  <c r="C677" i="16" s="1"/>
  <c r="D676" i="16"/>
  <c r="D675" i="16"/>
  <c r="D674" i="16"/>
  <c r="C674" i="16" s="1"/>
  <c r="D673" i="16"/>
  <c r="C673" i="16" s="1"/>
  <c r="D672" i="16"/>
  <c r="C672" i="16" s="1"/>
  <c r="D671" i="16"/>
  <c r="C671" i="16"/>
  <c r="D670" i="16"/>
  <c r="C670" i="16" s="1"/>
  <c r="D669" i="16"/>
  <c r="C669" i="16" s="1"/>
  <c r="D668" i="16"/>
  <c r="C668" i="16" s="1"/>
  <c r="D667" i="16"/>
  <c r="C667" i="16" s="1"/>
  <c r="D666" i="16"/>
  <c r="C666" i="16" s="1"/>
  <c r="D665" i="16"/>
  <c r="C665" i="16" s="1"/>
  <c r="D664" i="16"/>
  <c r="C664" i="16" s="1"/>
  <c r="D663" i="16"/>
  <c r="C663" i="16" s="1"/>
  <c r="D662" i="16"/>
  <c r="C662" i="16"/>
  <c r="D661" i="16"/>
  <c r="C661" i="16" s="1"/>
  <c r="D660" i="16"/>
  <c r="C660" i="16" s="1"/>
  <c r="D659" i="16"/>
  <c r="C659" i="16" s="1"/>
  <c r="D658" i="16"/>
  <c r="C658" i="16" s="1"/>
  <c r="D657" i="16"/>
  <c r="C657" i="16" s="1"/>
  <c r="D656" i="16"/>
  <c r="C656" i="16" s="1"/>
  <c r="D655" i="16"/>
  <c r="C655" i="16" s="1"/>
  <c r="D654" i="16"/>
  <c r="C654" i="16"/>
  <c r="D653" i="16"/>
  <c r="C653" i="16"/>
  <c r="D652" i="16"/>
  <c r="C652" i="16" s="1"/>
  <c r="D651" i="16"/>
  <c r="C651" i="16" s="1"/>
  <c r="D650" i="16"/>
  <c r="C650" i="16"/>
  <c r="D649" i="16"/>
  <c r="C649" i="16" s="1"/>
  <c r="D648" i="16"/>
  <c r="C648" i="16" s="1"/>
  <c r="D647" i="16"/>
  <c r="C647" i="16" s="1"/>
  <c r="D646" i="16"/>
  <c r="C646" i="16" s="1"/>
  <c r="D645" i="16"/>
  <c r="C645" i="16"/>
  <c r="D644" i="16"/>
  <c r="C644" i="16" s="1"/>
  <c r="D643" i="16"/>
  <c r="C643" i="16" s="1"/>
  <c r="D642" i="16"/>
  <c r="C642" i="16"/>
  <c r="D641" i="16"/>
  <c r="C641" i="16" s="1"/>
  <c r="D640" i="16"/>
  <c r="C640" i="16" s="1"/>
  <c r="D639" i="16"/>
  <c r="C639" i="16" s="1"/>
  <c r="D638" i="16"/>
  <c r="C638" i="16" s="1"/>
  <c r="D637" i="16"/>
  <c r="C637" i="16" s="1"/>
  <c r="D636" i="16"/>
  <c r="C636" i="16" s="1"/>
  <c r="D635" i="16"/>
  <c r="C635" i="16" s="1"/>
  <c r="D634" i="16"/>
  <c r="C634" i="16" s="1"/>
  <c r="D633" i="16"/>
  <c r="C633" i="16"/>
  <c r="D632" i="16"/>
  <c r="C632" i="16" s="1"/>
  <c r="D631" i="16"/>
  <c r="C631" i="16" s="1"/>
  <c r="D630" i="16"/>
  <c r="C630" i="16"/>
  <c r="D629" i="16"/>
  <c r="C629" i="16" s="1"/>
  <c r="D628" i="16"/>
  <c r="C628" i="16" s="1"/>
  <c r="D627" i="16"/>
  <c r="C627" i="16"/>
  <c r="D626" i="16"/>
  <c r="C626" i="16" s="1"/>
  <c r="D625" i="16"/>
  <c r="C625" i="16" s="1"/>
  <c r="D624" i="16"/>
  <c r="C624" i="16" s="1"/>
  <c r="D623" i="16"/>
  <c r="C623" i="16" s="1"/>
  <c r="D622" i="16"/>
  <c r="C622" i="16"/>
  <c r="D621" i="16"/>
  <c r="C621" i="16"/>
  <c r="D620" i="16"/>
  <c r="C620" i="16" s="1"/>
  <c r="D619" i="16"/>
  <c r="C619" i="16"/>
  <c r="D618" i="16"/>
  <c r="C618" i="16" s="1"/>
  <c r="D617" i="16"/>
  <c r="C617" i="16" s="1"/>
  <c r="D616" i="16"/>
  <c r="C616" i="16" s="1"/>
  <c r="D615" i="16"/>
  <c r="C615" i="16" s="1"/>
  <c r="D614" i="16"/>
  <c r="C614" i="16" s="1"/>
  <c r="D613" i="16"/>
  <c r="C613" i="16"/>
  <c r="D612" i="16"/>
  <c r="C612" i="16" s="1"/>
  <c r="D611" i="16"/>
  <c r="C611" i="16" s="1"/>
  <c r="D610" i="16"/>
  <c r="C610" i="16"/>
  <c r="D609" i="16"/>
  <c r="C609" i="16" s="1"/>
  <c r="D608" i="16"/>
  <c r="C608" i="16" s="1"/>
  <c r="D607" i="16"/>
  <c r="C607" i="16"/>
  <c r="D606" i="16"/>
  <c r="C606" i="16" s="1"/>
  <c r="D605" i="16"/>
  <c r="C605" i="16" s="1"/>
  <c r="D604" i="16"/>
  <c r="C604" i="16" s="1"/>
  <c r="D603" i="16"/>
  <c r="C603" i="16" s="1"/>
  <c r="D602" i="16"/>
  <c r="C602" i="16" s="1"/>
  <c r="D601" i="16"/>
  <c r="C601" i="16"/>
  <c r="D600" i="16"/>
  <c r="C600" i="16" s="1"/>
  <c r="D599" i="16"/>
  <c r="C599" i="16"/>
  <c r="D598" i="16"/>
  <c r="C598" i="16"/>
  <c r="D597" i="16"/>
  <c r="C597" i="16" s="1"/>
  <c r="D596" i="16"/>
  <c r="C596" i="16" s="1"/>
  <c r="D595" i="16"/>
  <c r="C595" i="16" s="1"/>
  <c r="D594" i="16"/>
  <c r="C594" i="16" s="1"/>
  <c r="D593" i="16"/>
  <c r="C593" i="16" s="1"/>
  <c r="D592" i="16"/>
  <c r="C592" i="16" s="1"/>
  <c r="D591" i="16"/>
  <c r="C591" i="16" s="1"/>
  <c r="D590" i="16"/>
  <c r="C590" i="16"/>
  <c r="D589" i="16"/>
  <c r="C589" i="16" s="1"/>
  <c r="D588" i="16"/>
  <c r="C588" i="16" s="1"/>
  <c r="D587" i="16"/>
  <c r="C587" i="16" s="1"/>
  <c r="D586" i="16"/>
  <c r="C586" i="16" s="1"/>
  <c r="D585" i="16"/>
  <c r="C585" i="16"/>
  <c r="D584" i="16"/>
  <c r="C584" i="16" s="1"/>
  <c r="D583" i="16"/>
  <c r="C583" i="16"/>
  <c r="D582" i="16"/>
  <c r="C582" i="16" s="1"/>
  <c r="D581" i="16"/>
  <c r="C581" i="16"/>
  <c r="D580" i="16"/>
  <c r="C580" i="16" s="1"/>
  <c r="D579" i="16"/>
  <c r="C579" i="16" s="1"/>
  <c r="D578" i="16"/>
  <c r="C578" i="16" s="1"/>
  <c r="D577" i="16"/>
  <c r="C577" i="16" s="1"/>
  <c r="D576" i="16"/>
  <c r="C576" i="16" s="1"/>
  <c r="D575" i="16"/>
  <c r="C575" i="16" s="1"/>
  <c r="D574" i="16"/>
  <c r="C574" i="16" s="1"/>
  <c r="D573" i="16"/>
  <c r="C573" i="16"/>
  <c r="D572" i="16"/>
  <c r="C572" i="16" s="1"/>
  <c r="D571" i="16"/>
  <c r="C571" i="16"/>
  <c r="D570" i="16"/>
  <c r="C570" i="16" s="1"/>
  <c r="D569" i="16"/>
  <c r="C569" i="16" s="1"/>
  <c r="D568" i="16"/>
  <c r="C568" i="16" s="1"/>
  <c r="D567" i="16"/>
  <c r="C567" i="16"/>
  <c r="D566" i="16"/>
  <c r="C566" i="16" s="1"/>
  <c r="D565" i="16"/>
  <c r="C565" i="16" s="1"/>
  <c r="D564" i="16"/>
  <c r="C564" i="16" s="1"/>
  <c r="D563" i="16"/>
  <c r="C563" i="16" s="1"/>
  <c r="D562" i="16"/>
  <c r="C562" i="16"/>
  <c r="D561" i="16"/>
  <c r="C561" i="16" s="1"/>
  <c r="D560" i="16"/>
  <c r="C560" i="16" s="1"/>
  <c r="D559" i="16"/>
  <c r="C559" i="16"/>
  <c r="D558" i="16"/>
  <c r="C558" i="16" s="1"/>
  <c r="D557" i="16"/>
  <c r="C557" i="16" s="1"/>
  <c r="D556" i="16"/>
  <c r="C556" i="16" s="1"/>
  <c r="D555" i="16"/>
  <c r="C555" i="16" s="1"/>
  <c r="D554" i="16"/>
  <c r="C554" i="16" s="1"/>
  <c r="D553" i="16"/>
  <c r="C553" i="16"/>
  <c r="D552" i="16"/>
  <c r="C552" i="16" s="1"/>
  <c r="D551" i="16"/>
  <c r="C551" i="16" s="1"/>
  <c r="D550" i="16"/>
  <c r="C550" i="16" s="1"/>
  <c r="D549" i="16"/>
  <c r="C549" i="16"/>
  <c r="D548" i="16"/>
  <c r="C548" i="16" s="1"/>
  <c r="D547" i="16"/>
  <c r="C547" i="16" s="1"/>
  <c r="D546" i="16"/>
  <c r="C546" i="16" s="1"/>
  <c r="D545" i="16"/>
  <c r="C545" i="16" s="1"/>
  <c r="D544" i="16"/>
  <c r="C544" i="16" s="1"/>
  <c r="D543" i="16"/>
  <c r="C543" i="16" s="1"/>
  <c r="D542" i="16"/>
  <c r="C542" i="16" s="1"/>
  <c r="D541" i="16"/>
  <c r="C541" i="16"/>
  <c r="D540" i="16"/>
  <c r="C540" i="16" s="1"/>
  <c r="D539" i="16"/>
  <c r="C539" i="16"/>
  <c r="D538" i="16"/>
  <c r="C538" i="16" s="1"/>
  <c r="D537" i="16"/>
  <c r="C537" i="16" s="1"/>
  <c r="D536" i="16"/>
  <c r="C536" i="16" s="1"/>
  <c r="D535" i="16"/>
  <c r="C535" i="16"/>
  <c r="D534" i="16"/>
  <c r="C534" i="16" s="1"/>
  <c r="D533" i="16"/>
  <c r="C533" i="16" s="1"/>
  <c r="D532" i="16"/>
  <c r="C532" i="16" s="1"/>
  <c r="D531" i="16"/>
  <c r="C531" i="16" s="1"/>
  <c r="D530" i="16"/>
  <c r="C530" i="16"/>
  <c r="D529" i="16"/>
  <c r="C529" i="16" s="1"/>
  <c r="D528" i="16"/>
  <c r="C528" i="16" s="1"/>
  <c r="D527" i="16"/>
  <c r="C527" i="16"/>
  <c r="D526" i="16"/>
  <c r="C526" i="16"/>
  <c r="D525" i="16"/>
  <c r="C525" i="16" s="1"/>
  <c r="D524" i="16"/>
  <c r="C524" i="16" s="1"/>
  <c r="D523" i="16"/>
  <c r="C523" i="16" s="1"/>
  <c r="D522" i="16"/>
  <c r="C522" i="16" s="1"/>
  <c r="D521" i="16"/>
  <c r="C521" i="16"/>
  <c r="D520" i="16"/>
  <c r="C520" i="16" s="1"/>
  <c r="D519" i="16"/>
  <c r="C519" i="16" s="1"/>
  <c r="D518" i="16"/>
  <c r="C518" i="16"/>
  <c r="D517" i="16"/>
  <c r="C517" i="16"/>
  <c r="D516" i="16"/>
  <c r="C516" i="16" s="1"/>
  <c r="D515" i="16"/>
  <c r="C515" i="16" s="1"/>
  <c r="D514" i="16"/>
  <c r="C514" i="16"/>
  <c r="D513" i="16"/>
  <c r="C513" i="16" s="1"/>
  <c r="D512" i="16"/>
  <c r="C512" i="16" s="1"/>
  <c r="D511" i="16"/>
  <c r="C511" i="16" s="1"/>
  <c r="D510" i="16"/>
  <c r="C510" i="16" s="1"/>
  <c r="D509" i="16"/>
  <c r="C509" i="16"/>
  <c r="D508" i="16"/>
  <c r="C508" i="16" s="1"/>
  <c r="D507" i="16"/>
  <c r="C507" i="16" s="1"/>
  <c r="D506" i="16"/>
  <c r="C506" i="16" s="1"/>
  <c r="D505" i="16"/>
  <c r="C505" i="16" s="1"/>
  <c r="D504" i="16"/>
  <c r="C504" i="16" s="1"/>
  <c r="D503" i="16"/>
  <c r="C503" i="16" s="1"/>
  <c r="D502" i="16"/>
  <c r="C502" i="16" s="1"/>
  <c r="D501" i="16"/>
  <c r="C501" i="16" s="1"/>
  <c r="D500" i="16"/>
  <c r="C500" i="16" s="1"/>
  <c r="D499" i="16"/>
  <c r="C499" i="16" s="1"/>
  <c r="D498" i="16"/>
  <c r="C498" i="16"/>
  <c r="D497" i="16"/>
  <c r="C497" i="16" s="1"/>
  <c r="D496" i="16"/>
  <c r="C496" i="16" s="1"/>
  <c r="D495" i="16"/>
  <c r="C495" i="16"/>
  <c r="D494" i="16"/>
  <c r="C494" i="16" s="1"/>
  <c r="D493" i="16"/>
  <c r="C493" i="16" s="1"/>
  <c r="D492" i="16"/>
  <c r="C492" i="16" s="1"/>
  <c r="D491" i="16"/>
  <c r="C491" i="16"/>
  <c r="D490" i="16"/>
  <c r="C490" i="16" s="1"/>
  <c r="D489" i="16"/>
  <c r="C489" i="16"/>
  <c r="D488" i="16"/>
  <c r="C488" i="16" s="1"/>
  <c r="D487" i="16"/>
  <c r="C487" i="16"/>
  <c r="D486" i="16"/>
  <c r="C486" i="16"/>
  <c r="D485" i="16"/>
  <c r="C485" i="16" s="1"/>
  <c r="D484" i="16"/>
  <c r="C484" i="16" s="1"/>
  <c r="D483" i="16"/>
  <c r="C483" i="16" s="1"/>
  <c r="D482" i="16"/>
  <c r="C482" i="16" s="1"/>
  <c r="D481" i="16"/>
  <c r="C481" i="16" s="1"/>
  <c r="D480" i="16"/>
  <c r="C480" i="16" s="1"/>
  <c r="D479" i="16"/>
  <c r="C479" i="16" s="1"/>
  <c r="D478" i="16"/>
  <c r="C478" i="16" s="1"/>
  <c r="D477" i="16"/>
  <c r="C477" i="16"/>
  <c r="D476" i="16"/>
  <c r="C476" i="16" s="1"/>
  <c r="D475" i="16"/>
  <c r="C475" i="16" s="1"/>
  <c r="D474" i="16"/>
  <c r="C474" i="16" s="1"/>
  <c r="D473" i="16"/>
  <c r="C473" i="16" s="1"/>
  <c r="D472" i="16"/>
  <c r="C472" i="16" s="1"/>
  <c r="D471" i="16"/>
  <c r="C471" i="16"/>
  <c r="D470" i="16"/>
  <c r="C470" i="16" s="1"/>
  <c r="D469" i="16"/>
  <c r="C469" i="16" s="1"/>
  <c r="D468" i="16"/>
  <c r="C468" i="16" s="1"/>
  <c r="D467" i="16"/>
  <c r="C467" i="16" s="1"/>
  <c r="D466" i="16"/>
  <c r="C466" i="16"/>
  <c r="D465" i="16"/>
  <c r="C465" i="16" s="1"/>
  <c r="D464" i="16"/>
  <c r="C464" i="16" s="1"/>
  <c r="D463" i="16"/>
  <c r="C463" i="16"/>
  <c r="D462" i="16"/>
  <c r="C462" i="16" s="1"/>
  <c r="D461" i="16"/>
  <c r="C461" i="16" s="1"/>
  <c r="D460" i="16"/>
  <c r="C460" i="16" s="1"/>
  <c r="D459" i="16"/>
  <c r="C459" i="16" s="1"/>
  <c r="D458" i="16"/>
  <c r="C458" i="16" s="1"/>
  <c r="D457" i="16"/>
  <c r="C457" i="16"/>
  <c r="D456" i="16"/>
  <c r="C456" i="16" s="1"/>
  <c r="D455" i="16"/>
  <c r="C455" i="16"/>
  <c r="D454" i="16"/>
  <c r="C454" i="16"/>
  <c r="D453" i="16"/>
  <c r="C453" i="16"/>
  <c r="D452" i="16"/>
  <c r="C452" i="16" s="1"/>
  <c r="D451" i="16"/>
  <c r="C451" i="16" s="1"/>
  <c r="D450" i="16"/>
  <c r="C450" i="16" s="1"/>
  <c r="D449" i="16"/>
  <c r="C449" i="16" s="1"/>
  <c r="D448" i="16"/>
  <c r="C448" i="16" s="1"/>
  <c r="D447" i="16"/>
  <c r="C447" i="16" s="1"/>
  <c r="D446" i="16"/>
  <c r="C446" i="16" s="1"/>
  <c r="D445" i="16"/>
  <c r="C445" i="16"/>
  <c r="D444" i="16"/>
  <c r="C444" i="16" s="1"/>
  <c r="D443" i="16"/>
  <c r="C443" i="16"/>
  <c r="D442" i="16"/>
  <c r="C442" i="16" s="1"/>
  <c r="D441" i="16"/>
  <c r="C441" i="16" s="1"/>
  <c r="D440" i="16"/>
  <c r="C440" i="16" s="1"/>
  <c r="D439" i="16"/>
  <c r="C439" i="16" s="1"/>
  <c r="D438" i="16"/>
  <c r="C438" i="16" s="1"/>
  <c r="D437" i="16"/>
  <c r="C437" i="16" s="1"/>
  <c r="D436" i="16"/>
  <c r="C436" i="16" s="1"/>
  <c r="D435" i="16"/>
  <c r="C435" i="16" s="1"/>
  <c r="D434" i="16"/>
  <c r="C434" i="16"/>
  <c r="D433" i="16"/>
  <c r="C433" i="16" s="1"/>
  <c r="D432" i="16"/>
  <c r="C432" i="16" s="1"/>
  <c r="D431" i="16"/>
  <c r="C431" i="16"/>
  <c r="D430" i="16"/>
  <c r="C430" i="16" s="1"/>
  <c r="D429" i="16"/>
  <c r="C429" i="16" s="1"/>
  <c r="D428" i="16"/>
  <c r="C428" i="16" s="1"/>
  <c r="D427" i="16"/>
  <c r="C427" i="16" s="1"/>
  <c r="D426" i="16"/>
  <c r="C426" i="16" s="1"/>
  <c r="D425" i="16"/>
  <c r="C425" i="16"/>
  <c r="D424" i="16"/>
  <c r="C424" i="16" s="1"/>
  <c r="D423" i="16"/>
  <c r="C423" i="16" s="1"/>
  <c r="D422" i="16"/>
  <c r="C422" i="16"/>
  <c r="D421" i="16"/>
  <c r="C421" i="16" s="1"/>
  <c r="D420" i="16"/>
  <c r="C420" i="16" s="1"/>
  <c r="D419" i="16"/>
  <c r="C419" i="16" s="1"/>
  <c r="D418" i="16"/>
  <c r="C418" i="16"/>
  <c r="D417" i="16"/>
  <c r="C417" i="16" s="1"/>
  <c r="D416" i="16"/>
  <c r="C416" i="16" s="1"/>
  <c r="D415" i="16"/>
  <c r="C415" i="16" s="1"/>
  <c r="D414" i="16"/>
  <c r="C414" i="16" s="1"/>
  <c r="D413" i="16"/>
  <c r="C413" i="16"/>
  <c r="D412" i="16"/>
  <c r="C412" i="16" s="1"/>
  <c r="D411" i="16"/>
  <c r="C411" i="16" s="1"/>
  <c r="D410" i="16"/>
  <c r="C410" i="16" s="1"/>
  <c r="D409" i="16"/>
  <c r="C409" i="16" s="1"/>
  <c r="D408" i="16"/>
  <c r="C408" i="16" s="1"/>
  <c r="D407" i="16"/>
  <c r="C407" i="16"/>
  <c r="D406" i="16"/>
  <c r="C406" i="16" s="1"/>
  <c r="D405" i="16"/>
  <c r="C405" i="16" s="1"/>
  <c r="D404" i="16"/>
  <c r="C404" i="16" s="1"/>
  <c r="D403" i="16"/>
  <c r="C403" i="16" s="1"/>
  <c r="D402" i="16"/>
  <c r="C402" i="16"/>
  <c r="D401" i="16"/>
  <c r="C401" i="16" s="1"/>
  <c r="D400" i="16"/>
  <c r="C400" i="16" s="1"/>
  <c r="D399" i="16"/>
  <c r="C399" i="16"/>
  <c r="D398" i="16"/>
  <c r="C398" i="16" s="1"/>
  <c r="D397" i="16"/>
  <c r="C397" i="16" s="1"/>
  <c r="D396" i="16"/>
  <c r="C396" i="16" s="1"/>
  <c r="D395" i="16"/>
  <c r="C395" i="16" s="1"/>
  <c r="D394" i="16"/>
  <c r="C394" i="16" s="1"/>
  <c r="D393" i="16"/>
  <c r="C393" i="16"/>
  <c r="D392" i="16"/>
  <c r="C392" i="16" s="1"/>
  <c r="D391" i="16"/>
  <c r="C391" i="16"/>
  <c r="D390" i="16"/>
  <c r="C390" i="16"/>
  <c r="D389" i="16"/>
  <c r="C389" i="16" s="1"/>
  <c r="D388" i="16"/>
  <c r="C388" i="16" s="1"/>
  <c r="D387" i="16"/>
  <c r="C387" i="16"/>
  <c r="D386" i="16"/>
  <c r="C386" i="16" s="1"/>
  <c r="D385" i="16"/>
  <c r="C385" i="16" s="1"/>
  <c r="D384" i="16"/>
  <c r="C384" i="16" s="1"/>
  <c r="D383" i="16"/>
  <c r="C383" i="16" s="1"/>
  <c r="D382" i="16"/>
  <c r="C382" i="16" s="1"/>
  <c r="D381" i="16"/>
  <c r="C381" i="16"/>
  <c r="D380" i="16"/>
  <c r="C380" i="16" s="1"/>
  <c r="D379" i="16"/>
  <c r="C379" i="16"/>
  <c r="D378" i="16"/>
  <c r="C378" i="16" s="1"/>
  <c r="D377" i="16"/>
  <c r="C377" i="16" s="1"/>
  <c r="D376" i="16"/>
  <c r="C376" i="16" s="1"/>
  <c r="D375" i="16"/>
  <c r="C375" i="16" s="1"/>
  <c r="D374" i="16"/>
  <c r="C374" i="16" s="1"/>
  <c r="D373" i="16"/>
  <c r="C373" i="16" s="1"/>
  <c r="D372" i="16"/>
  <c r="C372" i="16" s="1"/>
  <c r="D371" i="16"/>
  <c r="C371" i="16" s="1"/>
  <c r="D370" i="16"/>
  <c r="C370" i="16"/>
  <c r="D369" i="16"/>
  <c r="C369" i="16" s="1"/>
  <c r="D368" i="16"/>
  <c r="C368" i="16" s="1"/>
  <c r="D367" i="16"/>
  <c r="C367" i="16"/>
  <c r="D366" i="16"/>
  <c r="C366" i="16" s="1"/>
  <c r="D365" i="16"/>
  <c r="C365" i="16" s="1"/>
  <c r="D364" i="16"/>
  <c r="C364" i="16" s="1"/>
  <c r="D363" i="16"/>
  <c r="C363" i="16" s="1"/>
  <c r="D362" i="16"/>
  <c r="C362" i="16" s="1"/>
  <c r="D361" i="16"/>
  <c r="C361" i="16"/>
  <c r="D360" i="16"/>
  <c r="C360" i="16" s="1"/>
  <c r="D359" i="16"/>
  <c r="C359" i="16" s="1"/>
  <c r="D358" i="16"/>
  <c r="C358" i="16" s="1"/>
  <c r="D357" i="16"/>
  <c r="C357" i="16" s="1"/>
  <c r="D356" i="16"/>
  <c r="C356" i="16" s="1"/>
  <c r="D355" i="16"/>
  <c r="C355" i="16" s="1"/>
  <c r="D354" i="16"/>
  <c r="C354" i="16" s="1"/>
  <c r="D353" i="16"/>
  <c r="C353" i="16" s="1"/>
  <c r="D352" i="16"/>
  <c r="C352" i="16" s="1"/>
  <c r="D351" i="16"/>
  <c r="C351" i="16" s="1"/>
  <c r="D350" i="16"/>
  <c r="C350" i="16" s="1"/>
  <c r="D349" i="16"/>
  <c r="C349" i="16" s="1"/>
  <c r="D348" i="16"/>
  <c r="C348" i="16" s="1"/>
  <c r="D347" i="16"/>
  <c r="C347" i="16" s="1"/>
  <c r="D346" i="16"/>
  <c r="C346" i="16" s="1"/>
  <c r="C345" i="16"/>
  <c r="E10" i="1"/>
  <c r="E12" i="1"/>
  <c r="E13" i="1"/>
  <c r="E14" i="1"/>
  <c r="E15" i="1"/>
  <c r="E16" i="1"/>
  <c r="E17" i="1"/>
  <c r="E18" i="1"/>
  <c r="E22" i="1"/>
  <c r="E19" i="1"/>
  <c r="E11" i="1"/>
  <c r="E25" i="1"/>
  <c r="E21" i="1"/>
  <c r="E26" i="1"/>
  <c r="E27" i="1"/>
  <c r="C675" i="16" l="1"/>
  <c r="C676" i="16"/>
  <c r="D12" i="1"/>
  <c r="D9" i="1"/>
  <c r="D23" i="1"/>
  <c r="D26" i="1"/>
  <c r="D16" i="1"/>
  <c r="D22" i="1"/>
  <c r="D10" i="1"/>
  <c r="D19" i="1"/>
  <c r="D21" i="1"/>
  <c r="D27" i="1"/>
  <c r="D11" i="1"/>
  <c r="D15" i="1"/>
  <c r="D25" i="1"/>
  <c r="D24" i="1"/>
  <c r="D20" i="1"/>
  <c r="D18" i="1"/>
  <c r="D17" i="1"/>
  <c r="D14" i="1"/>
  <c r="D13" i="1"/>
</calcChain>
</file>

<file path=xl/sharedStrings.xml><?xml version="1.0" encoding="utf-8"?>
<sst xmlns="http://schemas.openxmlformats.org/spreadsheetml/2006/main" count="3971" uniqueCount="1503">
  <si>
    <t>Empreses actives</t>
  </si>
  <si>
    <t>Resultats per comunitats autònomes</t>
  </si>
  <si>
    <t/>
  </si>
  <si>
    <t>Empreses per CCAA, activitat principal (grups CNAE 2009) i estrat d'assalariats (antiga estratificació).</t>
  </si>
  <si>
    <t>Unitats: Empreses</t>
  </si>
  <si>
    <t xml:space="preserve"> </t>
  </si>
  <si>
    <t>Total</t>
  </si>
  <si>
    <t>Porcentaje</t>
  </si>
  <si>
    <t>Total PYMES CAT</t>
  </si>
  <si>
    <t>Sin asalariados</t>
  </si>
  <si>
    <t>De 1 a 2</t>
  </si>
  <si>
    <t xml:space="preserve">De 3 a 5 </t>
  </si>
  <si>
    <t xml:space="preserve">De 6 a 9 </t>
  </si>
  <si>
    <t>De 10 a 19</t>
  </si>
  <si>
    <t xml:space="preserve">De 20 a 49 </t>
  </si>
  <si>
    <t>De 50 a 99</t>
  </si>
  <si>
    <t>De 100 a 199</t>
  </si>
  <si>
    <t>2020</t>
  </si>
  <si>
    <t>Total Nacional</t>
  </si>
  <si>
    <t xml:space="preserve">    Total CNAE</t>
  </si>
  <si>
    <t xml:space="preserve">    05 Extracción de antracita, hulla y lignito</t>
  </si>
  <si>
    <t xml:space="preserve">    051 Extracción de antracita y hulla</t>
  </si>
  <si>
    <t xml:space="preserve">    052 Extracción de lignito</t>
  </si>
  <si>
    <t xml:space="preserve">    06 Extracción de crudo de petróleo y gas natural</t>
  </si>
  <si>
    <t xml:space="preserve">    061 Extracción de crudo de petróleo</t>
  </si>
  <si>
    <t xml:space="preserve">    062 Extracción de gas natural</t>
  </si>
  <si>
    <t xml:space="preserve">    07 Extracción de minerales metálicos</t>
  </si>
  <si>
    <t xml:space="preserve">    071 Extracción de minerales de hierro</t>
  </si>
  <si>
    <t xml:space="preserve">    072 Extracción de minerales metálicos no férreos</t>
  </si>
  <si>
    <t xml:space="preserve">    08 Otras industrias extractivas</t>
  </si>
  <si>
    <t xml:space="preserve">    081 Extracción de piedra, arena y arcilla</t>
  </si>
  <si>
    <t xml:space="preserve">    089 Industrias extractivas n.c.o.p.</t>
  </si>
  <si>
    <t xml:space="preserve">    09 Actividades de apoyo a las industrias extractivas</t>
  </si>
  <si>
    <t xml:space="preserve">    091 Actividades de apoyo a la extracción de petróleo y gas natural</t>
  </si>
  <si>
    <t xml:space="preserve">    099 Actividades de apoyo a otras industrias extractivas</t>
  </si>
  <si>
    <t xml:space="preserve">    10 Industria de la alimentación</t>
  </si>
  <si>
    <t xml:space="preserve">    101 Procesado y conservación de carne y elaboración de productos cárnicos</t>
  </si>
  <si>
    <t xml:space="preserve">    102 Procesado y conservación de pescados, crustáceos y moluscos</t>
  </si>
  <si>
    <t xml:space="preserve">    103 Procesado y conservación de frutas y hortalizas</t>
  </si>
  <si>
    <t xml:space="preserve">    104 Fabricación de aceites y grasas vegetales y animales</t>
  </si>
  <si>
    <t xml:space="preserve">    105 Fabricación de productos lácteos</t>
  </si>
  <si>
    <t xml:space="preserve">    106 Fabricación de productos de molinería, almidones y productos amiláceos</t>
  </si>
  <si>
    <t xml:space="preserve">    107 Fabricación de productos de panadería y pastas alimenticias</t>
  </si>
  <si>
    <t xml:space="preserve">    108 Fabricación de otros productos alimenticios</t>
  </si>
  <si>
    <t xml:space="preserve">    109 Fabricación de productos para la alimentación animal</t>
  </si>
  <si>
    <t xml:space="preserve">    11 Fabricación de bebidas</t>
  </si>
  <si>
    <t xml:space="preserve">    110 Fabricación de bebidas</t>
  </si>
  <si>
    <t xml:space="preserve">    12 Industria del tabaco</t>
  </si>
  <si>
    <t xml:space="preserve">    120 Industria del tabaco</t>
  </si>
  <si>
    <t xml:space="preserve">    13 Industria textil</t>
  </si>
  <si>
    <t xml:space="preserve">    131 Preparación e hilado de fibras textiles</t>
  </si>
  <si>
    <t xml:space="preserve">    132 Fabricación de tejidos textiles </t>
  </si>
  <si>
    <t xml:space="preserve">    133 Acabado de textiles</t>
  </si>
  <si>
    <t xml:space="preserve">    139 Fabricación de otros productos textiles</t>
  </si>
  <si>
    <t xml:space="preserve">    14 Confección de prendas de vestir</t>
  </si>
  <si>
    <t xml:space="preserve">    141 Confección de prendas de vestir, excepto de peletería</t>
  </si>
  <si>
    <t xml:space="preserve">    142 Fabricación de artículos de peletería</t>
  </si>
  <si>
    <t xml:space="preserve">    143 Confección de prendas de vestir de punto</t>
  </si>
  <si>
    <t xml:space="preserve">    15 Industria del cuero y del calzado</t>
  </si>
  <si>
    <t xml:space="preserve">    151 Preparación, curtido y acabado del cuero; fabricación de artículos de marroquinería, viaje y de guarnicionería y talabartería; preparación y teñido de pieles</t>
  </si>
  <si>
    <t xml:space="preserve">    152 Fabricación de calzado</t>
  </si>
  <si>
    <t xml:space="preserve">    16 Industria de la madera y del corcho, excepto muebles; cestería y espartería</t>
  </si>
  <si>
    <t xml:space="preserve">    161 Aserrado y cepillado de la madera</t>
  </si>
  <si>
    <t xml:space="preserve">    162 Fabricación de productos de madera, corcho, cestería y espartería</t>
  </si>
  <si>
    <t xml:space="preserve">    17 Industria del papel</t>
  </si>
  <si>
    <t xml:space="preserve">    171 Fabricación de pasta papelera, papel y cartón</t>
  </si>
  <si>
    <t xml:space="preserve">    172 Fabricación de artículos de papel y de cartón</t>
  </si>
  <si>
    <t xml:space="preserve">    18 Artes gráficas y reproducción de soportes grabados</t>
  </si>
  <si>
    <t xml:space="preserve">    181 Artes gráficas y servicios relacionados con las mismas</t>
  </si>
  <si>
    <t xml:space="preserve">    182 Reproducción de soportes grabados</t>
  </si>
  <si>
    <t xml:space="preserve">    19 Coquerías y refino de petróleo</t>
  </si>
  <si>
    <t xml:space="preserve">    191 Coquerías</t>
  </si>
  <si>
    <t xml:space="preserve">    192 Refino de petróleo</t>
  </si>
  <si>
    <t xml:space="preserve">    20 Industria química</t>
  </si>
  <si>
    <t xml:space="preserve">    201 Fabricación de productos químicos básicos, compuestos nitrogenados, fertilizantes, plásticos y caucho sintético en formas primarias</t>
  </si>
  <si>
    <t xml:space="preserve">    202 Fabricación de pesticidas y otros productos agroquímicos</t>
  </si>
  <si>
    <t xml:space="preserve">    203 Fabricación de pinturas, barnices y revestimientos similares; tintas de imprenta y masillas</t>
  </si>
  <si>
    <t xml:space="preserve">    204 Fabricación de jabones, detergentes y otros artículos de limpieza y abrillantamiento; fabricación de perfumes y cosméticos</t>
  </si>
  <si>
    <t xml:space="preserve">    205 Fabricación de otros productos químicos</t>
  </si>
  <si>
    <t xml:space="preserve">    206 Fabricación de fibras artificiales y sintéticas</t>
  </si>
  <si>
    <t xml:space="preserve">    21 Fabricación de productos farmacéuticos</t>
  </si>
  <si>
    <t xml:space="preserve">    211 Fabricación de productos farmacéuticos de base</t>
  </si>
  <si>
    <t xml:space="preserve">    212 Fabricación de especialidades farmacéuticas</t>
  </si>
  <si>
    <t xml:space="preserve">    22 Fabricación de productos de caucho y plásticos</t>
  </si>
  <si>
    <t xml:space="preserve">    221 Fabricación de productos de caucho</t>
  </si>
  <si>
    <t xml:space="preserve">    222 Fabricación de productos de plástico</t>
  </si>
  <si>
    <t xml:space="preserve">    23 Fabricación de otros productos minerales no metálicos</t>
  </si>
  <si>
    <t xml:space="preserve">    231 Fabricación de vidrio y productos de vidrio</t>
  </si>
  <si>
    <t xml:space="preserve">    232 Fabricación de productos cerámicos refractarios</t>
  </si>
  <si>
    <t xml:space="preserve">    233 Fabricación de productos cerámicos para la construcción</t>
  </si>
  <si>
    <t xml:space="preserve">    234 Fabricación de otros productos cerámicos</t>
  </si>
  <si>
    <t xml:space="preserve">    235 Fabricación de cemento, cal y yeso</t>
  </si>
  <si>
    <t xml:space="preserve">    236 Fabricación de elementos de hormigón, cemento y yeso</t>
  </si>
  <si>
    <t xml:space="preserve">    237 Corte, tallado y acabado de la piedra</t>
  </si>
  <si>
    <t xml:space="preserve">    239 Fabricación de productos abrasivos y productos minerales no metálicos n.c.o.p.</t>
  </si>
  <si>
    <t xml:space="preserve">    24 Metalurgia; fabricación de productos de hierro, acero y ferroaleaciones</t>
  </si>
  <si>
    <t xml:space="preserve">    241 Fabricación de productos básicos de hierro, acero y ferroaleaciones</t>
  </si>
  <si>
    <t xml:space="preserve">    242 Fabricación de tubos, tuberías, perfiles huecos y sus accesorios, de acero</t>
  </si>
  <si>
    <t xml:space="preserve">    243 Fabricación de otros productos de primera transformación del acero</t>
  </si>
  <si>
    <t xml:space="preserve">    244 Producción de metales preciosos y de otros metales no férreos</t>
  </si>
  <si>
    <t xml:space="preserve">    245 Fundición de metales</t>
  </si>
  <si>
    <t xml:space="preserve">    25 Fabricación de productos metálicos, excepto maquinaria y equipo</t>
  </si>
  <si>
    <t xml:space="preserve">    251 Fabricación de elementos metálicos para la construcción</t>
  </si>
  <si>
    <t xml:space="preserve">    252 Fabricación de cisternas, grandes depósitos y contenedores de metal</t>
  </si>
  <si>
    <t xml:space="preserve">    253 Fabricación de generadores de vapor, excepto calderas de calefacción central</t>
  </si>
  <si>
    <t xml:space="preserve">    254 Fabricación de armas y municiones</t>
  </si>
  <si>
    <t xml:space="preserve">    255 Forja, estampación y embutición de metales; metalurgia de polvos</t>
  </si>
  <si>
    <t xml:space="preserve">    256 Tratamiento y revestimiento de metales; ingeniería mecánica por cuenta de terceros</t>
  </si>
  <si>
    <t xml:space="preserve">    257 Fabricación de artículos de cuchillería y cubertería, herramientas y ferretería</t>
  </si>
  <si>
    <t xml:space="preserve">    259 Fabricación de otros productos metálicos</t>
  </si>
  <si>
    <t xml:space="preserve">    26 Fabricación de productos informáticos, electrónicos y ópticos</t>
  </si>
  <si>
    <t xml:space="preserve">    261 Fabricación de componentes electrónicos y circuitos impresos ensamblados</t>
  </si>
  <si>
    <t xml:space="preserve">    262 Fabricación de ordenadores y equipos periféricos</t>
  </si>
  <si>
    <t xml:space="preserve">    263 Fabricación de equipos de telecomunicaciones</t>
  </si>
  <si>
    <t xml:space="preserve">    264 Fabricación de productos electrónicos de consumo</t>
  </si>
  <si>
    <t xml:space="preserve">    265 Fabricación de instrumentos y aparatos de medida, verificación y navegación; fabricación de relojes</t>
  </si>
  <si>
    <t xml:space="preserve">    266 Fabricación de equipos de radiación, electromédicos y electroterapéuticos</t>
  </si>
  <si>
    <t xml:space="preserve">    267 Fabricación de instrumentos de óptica y equipo fotográfico</t>
  </si>
  <si>
    <t xml:space="preserve">    268 Fabricación de soportes magnéticos y ópticos</t>
  </si>
  <si>
    <t xml:space="preserve">    27 Fabricación de material y equipo eléctrico</t>
  </si>
  <si>
    <t xml:space="preserve">    271 Fabricación de motores, generadores y transformadores eléctricos, y de aparatos de distribución y control eléctrico</t>
  </si>
  <si>
    <t xml:space="preserve">    272 Fabricación de pilas y acumuladores eléctricos</t>
  </si>
  <si>
    <t xml:space="preserve">    273 Fabricación de cables y dispositivos de cableado</t>
  </si>
  <si>
    <t xml:space="preserve">    274 Fabricación de lámparas y aparatos eléctricos de iluminación</t>
  </si>
  <si>
    <t xml:space="preserve">    275 Fabricación de aparatos domésticos</t>
  </si>
  <si>
    <t xml:space="preserve">    279 Fabricación de otro material y equipo eléctrico</t>
  </si>
  <si>
    <t xml:space="preserve">    28 Fabricación de maquinaria y equipo n.c.o.p.</t>
  </si>
  <si>
    <t xml:space="preserve">    281 Fabricación de maquinaria de uso general</t>
  </si>
  <si>
    <t xml:space="preserve">    282 Fabricación de otra maquinaria de uso general</t>
  </si>
  <si>
    <t xml:space="preserve">    283 Fabricación de maquinaria agraria y forestal</t>
  </si>
  <si>
    <t xml:space="preserve">    284 Fabricación de máquinas herramienta para trabajar el metal y otras máquinas herramienta</t>
  </si>
  <si>
    <t xml:space="preserve">    289 Fabricación de otra maquinaria para usos específicos</t>
  </si>
  <si>
    <t xml:space="preserve">    29 Fabricación de vehículos de motor, remolques y semirremolques</t>
  </si>
  <si>
    <t xml:space="preserve">    291 Fabricación de vehículos de motor</t>
  </si>
  <si>
    <t xml:space="preserve">    292 Fabricación de carrocerías para vehículos de motor; fabricación de remolques y semirremolques</t>
  </si>
  <si>
    <t xml:space="preserve">    293 Fabricación de componentes, piezas y accesorios para vehículos de motor</t>
  </si>
  <si>
    <t xml:space="preserve">    30 Fabricación de otro material de transporte</t>
  </si>
  <si>
    <t xml:space="preserve">    301 Construcción naval</t>
  </si>
  <si>
    <t xml:space="preserve">    302 Fabricación de locomotoras y material ferroviario</t>
  </si>
  <si>
    <t xml:space="preserve">    303 Construcción aeronáutica y espacial y su maquinaria</t>
  </si>
  <si>
    <t xml:space="preserve">    304 Fabricación de vehículos militares de combate</t>
  </si>
  <si>
    <t xml:space="preserve">    309 Fabricación de material de transporte n.c.o.p.</t>
  </si>
  <si>
    <t xml:space="preserve">    31 Fabricación de muebles</t>
  </si>
  <si>
    <t xml:space="preserve">    310 Fabricación de muebles</t>
  </si>
  <si>
    <t xml:space="preserve">    32 Otras industrias manufactureras</t>
  </si>
  <si>
    <t xml:space="preserve">    321 Fabricación de artículos de joyería, bisutería y similares</t>
  </si>
  <si>
    <t xml:space="preserve">    322 Fabricación de instrumentos musicales</t>
  </si>
  <si>
    <t xml:space="preserve">    323 Fabricación de artículos de deporte</t>
  </si>
  <si>
    <t xml:space="preserve">    324 Fabricación de juegos y juguetes</t>
  </si>
  <si>
    <t xml:space="preserve">    325 Fabricación de instrumentos y suministros médicos y odontológicos</t>
  </si>
  <si>
    <t xml:space="preserve">    329 Industrias manufactureras n.c.o.p.</t>
  </si>
  <si>
    <t xml:space="preserve">    33 Reparación e instalación de maquinaria y equipo</t>
  </si>
  <si>
    <t xml:space="preserve">    331 Reparación de productos metálicos, maquinaria y equipo</t>
  </si>
  <si>
    <t xml:space="preserve">    332 Instalación de máquinas y equipos industriales</t>
  </si>
  <si>
    <t xml:space="preserve">    35 Suministro de energía eléctrica, gas, vapor y aire acondicionado</t>
  </si>
  <si>
    <t xml:space="preserve">    351 Producción, transporte y distribución de energía eléctrica</t>
  </si>
  <si>
    <t xml:space="preserve">    352 Producción de gas; distribución por tubería de combustibles gaseosos</t>
  </si>
  <si>
    <t xml:space="preserve">    353 Suministro de vapor y aire acondicionado</t>
  </si>
  <si>
    <t xml:space="preserve">    36 Captación, depuración y distribución de agua</t>
  </si>
  <si>
    <t xml:space="preserve">    360 Captación, depuración y distribución de agua</t>
  </si>
  <si>
    <t xml:space="preserve">    37 Recogida y tratamiento de aguas residuales</t>
  </si>
  <si>
    <t xml:space="preserve">    370 Recogida y tratamiento de aguas residuales</t>
  </si>
  <si>
    <t xml:space="preserve">    38 Recogida, tratamiento y eliminación de residuos; valorización</t>
  </si>
  <si>
    <t xml:space="preserve">    381 Recogida de residuos</t>
  </si>
  <si>
    <t xml:space="preserve">    382 Tratamiento y eliminación de residuos</t>
  </si>
  <si>
    <t xml:space="preserve">    383 Valorización</t>
  </si>
  <si>
    <t xml:space="preserve">    39 Actividades de descontaminación y otros servicios de gestión de residuos</t>
  </si>
  <si>
    <t xml:space="preserve">    390 Actividades de descontaminación y otros servicios de gestión de residuos</t>
  </si>
  <si>
    <t xml:space="preserve">    41 Construcción de edificios</t>
  </si>
  <si>
    <t xml:space="preserve">    411 Promoción inmobiliaria</t>
  </si>
  <si>
    <t xml:space="preserve">    412 Construcción de edificios</t>
  </si>
  <si>
    <t xml:space="preserve">    42 Ingeniería civil</t>
  </si>
  <si>
    <t xml:space="preserve">    421 Construcción de carreteras y vías férreas, puentes y túneles</t>
  </si>
  <si>
    <t xml:space="preserve">    422 Construcción de redes</t>
  </si>
  <si>
    <t xml:space="preserve">    429 Construcción de otros proyectos de ingeniería civil</t>
  </si>
  <si>
    <t xml:space="preserve">    43 Actividades de construcción especializada</t>
  </si>
  <si>
    <t xml:space="preserve">    431 Demolición y preparación de terrenos</t>
  </si>
  <si>
    <t xml:space="preserve">    432 Instalaciones eléctricas, de fontanería y otras instalaciones en obras de construcción</t>
  </si>
  <si>
    <t xml:space="preserve">    433 Acabado de edificios</t>
  </si>
  <si>
    <t xml:space="preserve">    439 Otras actividades de construcción especializada</t>
  </si>
  <si>
    <t xml:space="preserve">    45 Venta y reparación de vehículos de motor y motocicletas</t>
  </si>
  <si>
    <t xml:space="preserve">    451 Venta de vehículos de motor</t>
  </si>
  <si>
    <t xml:space="preserve">    452 Mantenimiento y reparación de vehículos de motor</t>
  </si>
  <si>
    <t xml:space="preserve">    453 Comercio de repuestos y accesorios de vehículos de motor</t>
  </si>
  <si>
    <t xml:space="preserve">    454 Venta, mantenimiento y reparación de motocicletas y de sus repuestos y accesorios</t>
  </si>
  <si>
    <t xml:space="preserve">    46 Comercio al por mayor e intermediarios del comercio, excepto de vehículos de motor y motocicletas</t>
  </si>
  <si>
    <t xml:space="preserve">    461 Intermediarios del comercio</t>
  </si>
  <si>
    <t xml:space="preserve">    462 Comercio al por mayor de materias primas agrarias y de animales vivos</t>
  </si>
  <si>
    <t xml:space="preserve">    463 Comercio al por mayor de productos alimenticios, bebidas y tabaco</t>
  </si>
  <si>
    <t xml:space="preserve">    464 Comercio al por mayor de artículos de uso doméstico</t>
  </si>
  <si>
    <t xml:space="preserve">    465 Comercio al por mayor de equipos para las tecnologías de la información y las comunicaciones</t>
  </si>
  <si>
    <t xml:space="preserve">    466 Comercio al por mayor de otra maquinaria, equipos y suministros</t>
  </si>
  <si>
    <t xml:space="preserve">    467 Otro comercio al por mayor especializado</t>
  </si>
  <si>
    <t xml:space="preserve">    469 Comercio al por mayor no especializado</t>
  </si>
  <si>
    <t xml:space="preserve">    47 Comercio al por menor, excepto de vehículos de motor y motocicletas</t>
  </si>
  <si>
    <t xml:space="preserve">    471 Comercio al por menor en establecimientos no especializados</t>
  </si>
  <si>
    <t xml:space="preserve">    472 Comercio al por menor de productos alimenticios, bebidas y tabaco en establecimientos especializados</t>
  </si>
  <si>
    <t xml:space="preserve">    473 Comercio al por menor de combustible para la automoción en establecimientos especializados</t>
  </si>
  <si>
    <t xml:space="preserve">    474 Comercio al por menor de equipos para las tecnologías de la información y las comunicaciones en establecimientos especializados</t>
  </si>
  <si>
    <t xml:space="preserve">    475 Comercio al por menor de otros artículos de uso doméstico en establecimientos especializados</t>
  </si>
  <si>
    <t xml:space="preserve">    476 Comercio al por menor de artículos culturales y recreativos en establecimientos especializados</t>
  </si>
  <si>
    <t xml:space="preserve">    477 Comercio al por menor de otros artículos en establecimientos especializados</t>
  </si>
  <si>
    <t xml:space="preserve">    478 Comercio al por menor en puestos de venta y en mercadillos</t>
  </si>
  <si>
    <t xml:space="preserve">    479 Comercio al por menor no realizado ni en establecimientos, ni en puestos de venta ni en mercadillos</t>
  </si>
  <si>
    <t xml:space="preserve">    49 Transporte terrestre y por tubería</t>
  </si>
  <si>
    <t xml:space="preserve">    491 Transporte interurbano de pasajeros por ferrocarril</t>
  </si>
  <si>
    <t xml:space="preserve">    492 Transporte de mercancías por ferrocarril</t>
  </si>
  <si>
    <t xml:space="preserve">    493 Otro transporte terrestre de pasajeros</t>
  </si>
  <si>
    <t xml:space="preserve">    494 Transporte de mercancías por carretera y servicios de mudanza</t>
  </si>
  <si>
    <t xml:space="preserve">    495 Transporte por tubería</t>
  </si>
  <si>
    <t xml:space="preserve">    50 Transporte marítimo y por vías navegables interiores</t>
  </si>
  <si>
    <t xml:space="preserve">    501 Transporte marítimo de pasajeros</t>
  </si>
  <si>
    <t xml:space="preserve">    502 Transporte marítimo de mercancías</t>
  </si>
  <si>
    <t xml:space="preserve">    503 Transporte de pasajeros por vías navegables interiores</t>
  </si>
  <si>
    <t xml:space="preserve">    504 Transporte de mercancías por vías navegables interiores</t>
  </si>
  <si>
    <t xml:space="preserve">    51 Transporte aéreo</t>
  </si>
  <si>
    <t xml:space="preserve">    511 Transporte aéreo de pasajeros</t>
  </si>
  <si>
    <t xml:space="preserve">    512 Transporte aéreo de mercancías y transporte espacial</t>
  </si>
  <si>
    <t xml:space="preserve">    52 Almacenamiento y actividades anexas al transporte</t>
  </si>
  <si>
    <t xml:space="preserve">    521 Depósito y almacenamiento</t>
  </si>
  <si>
    <t xml:space="preserve">    522 Actividades anexas al transporte</t>
  </si>
  <si>
    <t xml:space="preserve">    53 Actividades postales y de correos</t>
  </si>
  <si>
    <t xml:space="preserve">    531 Actividades postales sometidas a la obligación del servicio universal</t>
  </si>
  <si>
    <t xml:space="preserve">    532 Otras actividades postales y de correos</t>
  </si>
  <si>
    <t xml:space="preserve">    55 Servicios de alojamiento</t>
  </si>
  <si>
    <t xml:space="preserve">    551 Hoteles y alojamientos similares</t>
  </si>
  <si>
    <t xml:space="preserve">    552 Alojamientos turísticos y otros alojamientos de corta estancia</t>
  </si>
  <si>
    <t xml:space="preserve">    553 Campings y aparcamientos para caravanas</t>
  </si>
  <si>
    <t xml:space="preserve">    559 Otros alojamientos</t>
  </si>
  <si>
    <t xml:space="preserve">    56 Servicios de comidas y bebidas</t>
  </si>
  <si>
    <t xml:space="preserve">    561 Restaurantes y puestos de comidas</t>
  </si>
  <si>
    <t xml:space="preserve">    562 Provisión de comidas preparadas para eventos y otros servicios de comidas</t>
  </si>
  <si>
    <t xml:space="preserve">    563 Establecimientos de bebidas</t>
  </si>
  <si>
    <t xml:space="preserve">    58 Edición</t>
  </si>
  <si>
    <t xml:space="preserve">    581 Edición de libros, periódicos y otras actividades editoriales</t>
  </si>
  <si>
    <t xml:space="preserve">    582 Edición de programas informáticos</t>
  </si>
  <si>
    <t xml:space="preserve">    59 Actividades cinematográficas, de vídeo y de programas de televisión, grabación de sonido y edición musical</t>
  </si>
  <si>
    <t xml:space="preserve">    591 Actividades cinematográficas, de vídeo y de programas de televisión</t>
  </si>
  <si>
    <t xml:space="preserve">    592 Actividades de grabación de sonido y edición musical</t>
  </si>
  <si>
    <t xml:space="preserve">    60 Actividades de programación y emisión de radio y televisión</t>
  </si>
  <si>
    <t xml:space="preserve">    601 Actividades de radiodifusión</t>
  </si>
  <si>
    <t xml:space="preserve">    602 Actividades de programación y emisión de televisión</t>
  </si>
  <si>
    <t xml:space="preserve">    61 Telecomunicaciones</t>
  </si>
  <si>
    <t xml:space="preserve">    611 Telecomunicaciones por cable</t>
  </si>
  <si>
    <t xml:space="preserve">    612 Telecomunicaciones inalámbricas</t>
  </si>
  <si>
    <t xml:space="preserve">    613 Telecomunicaciones por satélite</t>
  </si>
  <si>
    <t xml:space="preserve">    619 Otras actividades de telecomunicaciones</t>
  </si>
  <si>
    <t xml:space="preserve">    62 Programación, consultoría y otras actividades relacionadas con la informática</t>
  </si>
  <si>
    <t xml:space="preserve">    620 Programación, consultoría y otras actividades relacionadas con la informática</t>
  </si>
  <si>
    <t xml:space="preserve">    63 Servicios de información</t>
  </si>
  <si>
    <t xml:space="preserve">    631 Proceso de datos, hosting y actividades relacionadas; portales web</t>
  </si>
  <si>
    <t xml:space="preserve">    639 Otros servicios de información</t>
  </si>
  <si>
    <t xml:space="preserve">    64 Servicios financieros, excepto seguros y fondos de pensiones</t>
  </si>
  <si>
    <t xml:space="preserve">    641 Intermediación monetaria</t>
  </si>
  <si>
    <t xml:space="preserve">    642 Actividades de las sociedades holding</t>
  </si>
  <si>
    <t xml:space="preserve">    643 Inversión colectiva, fondos y entidades financieras similares</t>
  </si>
  <si>
    <t xml:space="preserve">    649 Otros servicios financieros, excepto seguros y fondos de pensiones</t>
  </si>
  <si>
    <t xml:space="preserve">    65 Seguros, reaseguros y fondos de pensiones, excepto Seguridad Social obligatoria</t>
  </si>
  <si>
    <t xml:space="preserve">    651 Seguros</t>
  </si>
  <si>
    <t xml:space="preserve">    652 Reaseguros</t>
  </si>
  <si>
    <t xml:space="preserve">    653 Fondos de pensiones</t>
  </si>
  <si>
    <t xml:space="preserve">    66 Actividades auxiliares a los servicios financieros y a los seguros</t>
  </si>
  <si>
    <t xml:space="preserve">    661 Actividades auxiliares a los servicios financieros, excepto seguros y fondos de pensiones</t>
  </si>
  <si>
    <t xml:space="preserve">    662 Actividades auxiliares a seguros y fondos de pensiones</t>
  </si>
  <si>
    <t xml:space="preserve">    663 Actividades de gestión de fondos</t>
  </si>
  <si>
    <t xml:space="preserve">    68 Actividades inmobiliarias</t>
  </si>
  <si>
    <t xml:space="preserve">    681 Compraventa de bienes inmobiliarios por cuenta propia</t>
  </si>
  <si>
    <t xml:space="preserve">    682 Alquiler de bienes inmobiliarios por cuenta propia</t>
  </si>
  <si>
    <t xml:space="preserve">    683 Actividades inmobiliarias por cuenta de terceros</t>
  </si>
  <si>
    <t xml:space="preserve">    69 Actividades jurídicas y de contabilidad</t>
  </si>
  <si>
    <t xml:space="preserve">    691 Actividades jurídicas</t>
  </si>
  <si>
    <t xml:space="preserve">    692 Actividades de contabilidad, teneduría de libros, auditoría y asesoría fiscal</t>
  </si>
  <si>
    <t xml:space="preserve">    70 Actividades de las sedes centrales; actividades de consultoría de gestión empresarial</t>
  </si>
  <si>
    <t xml:space="preserve">    701 Actividades de las sedes centrales</t>
  </si>
  <si>
    <t xml:space="preserve">    702 Actividades de consultoría de gestión empresarial</t>
  </si>
  <si>
    <t xml:space="preserve">    71 Servicios técnicos de arquitectura e ingeniería; ensayos y análisis técnicos</t>
  </si>
  <si>
    <t xml:space="preserve">    711 Servicios técnicos de arquitectura e ingeniería y otras actividades relacionadas con el asesoramiento técnico</t>
  </si>
  <si>
    <t xml:space="preserve">    712 Ensayos y análisis técnicos</t>
  </si>
  <si>
    <t xml:space="preserve">    72 Investigación y desarrollo</t>
  </si>
  <si>
    <t xml:space="preserve">    721 Investigación y desarrollo experimental en ciencias naturales y técnicas</t>
  </si>
  <si>
    <t xml:space="preserve">    722 Investigación y desarrollo experimental en ciencias sociales y humanidades</t>
  </si>
  <si>
    <t xml:space="preserve">    73 Publicidad y estudios de mercado</t>
  </si>
  <si>
    <t xml:space="preserve">    731 Publicidad</t>
  </si>
  <si>
    <t xml:space="preserve">    732 Estudios de mercado y realización de encuestas de opinión pública</t>
  </si>
  <si>
    <t xml:space="preserve">    74 Otras actividades profesionales, científicas y técnicas</t>
  </si>
  <si>
    <t xml:space="preserve">    741 Actividades de diseño especializado</t>
  </si>
  <si>
    <t xml:space="preserve">    742 Actividades de fotografía</t>
  </si>
  <si>
    <t xml:space="preserve">    743 Actividades de traducción e interpretación</t>
  </si>
  <si>
    <t xml:space="preserve">    749 Otras actividades profesionales, científicas y técnicas n.c.o.p.</t>
  </si>
  <si>
    <t xml:space="preserve">    75 Actividades veterinarias</t>
  </si>
  <si>
    <t xml:space="preserve">    750 Actividades veterinarias</t>
  </si>
  <si>
    <t xml:space="preserve">    77 Actividades de alquiler</t>
  </si>
  <si>
    <t xml:space="preserve">    771 Alquiler de vehículos de motor</t>
  </si>
  <si>
    <t xml:space="preserve">    772 Alquiler de efectos personales y artículos de uso doméstico</t>
  </si>
  <si>
    <t xml:space="preserve">    773 Alquiler de otra maquinaria, equipos y bienes tangibles</t>
  </si>
  <si>
    <t xml:space="preserve">    774 Arrendamiento de la propiedad intelectual y productos similares, excepto trabajos protegidos por los derechos de autor</t>
  </si>
  <si>
    <t xml:space="preserve">    78 Actividades relacionadas con el empleo</t>
  </si>
  <si>
    <t xml:space="preserve">    781 Actividades de las agencias de colocación</t>
  </si>
  <si>
    <t xml:space="preserve">    782 Actividades de las empresas de trabajo temporal</t>
  </si>
  <si>
    <t xml:space="preserve">    783 Otra provisión de recursos humanos</t>
  </si>
  <si>
    <t xml:space="preserve">    79 Actividades de agencias de viajes, operadores turísticos, servicios de reservas y actividades relacionadas con los mismos</t>
  </si>
  <si>
    <t xml:space="preserve">    791 Actividades de agencias de viajes y operadores turísticos</t>
  </si>
  <si>
    <t xml:space="preserve">    799 Otros servicios de reservas y actividades relacionadas con los mismos</t>
  </si>
  <si>
    <t xml:space="preserve">    80 Actividades de seguridad e investigación</t>
  </si>
  <si>
    <t xml:space="preserve">    801 Actividades de seguridad privada</t>
  </si>
  <si>
    <t xml:space="preserve">    802 Servicios de sistemas de seguridad</t>
  </si>
  <si>
    <t xml:space="preserve">    803 Actividades de investigación</t>
  </si>
  <si>
    <t xml:space="preserve">    81 Servicios a edificios y actividades de jardinería</t>
  </si>
  <si>
    <t xml:space="preserve">    811 Servicios integrales a edificios e instalaciones</t>
  </si>
  <si>
    <t xml:space="preserve">    812 Actividades de limpieza</t>
  </si>
  <si>
    <t xml:space="preserve">    813 Actividades de jardinería</t>
  </si>
  <si>
    <t xml:space="preserve">    82 Actividades administrativas de oficina y otras actividades auxiliares a las empresas</t>
  </si>
  <si>
    <t xml:space="preserve">    821 Actividades administrativas y auxiliares de oficina</t>
  </si>
  <si>
    <t xml:space="preserve">    822 Actividades de los centros de llamadas</t>
  </si>
  <si>
    <t xml:space="preserve">    823 Organización de convenciones y ferias de muestras</t>
  </si>
  <si>
    <t xml:space="preserve">    829 Actividades de apoyo a las empresas n.c.o.p.</t>
  </si>
  <si>
    <t xml:space="preserve">    85 Educación</t>
  </si>
  <si>
    <t xml:space="preserve">    851 Educación preprimaria</t>
  </si>
  <si>
    <t xml:space="preserve">    852 Educación primaria</t>
  </si>
  <si>
    <t xml:space="preserve">    853 Educación secundaria</t>
  </si>
  <si>
    <t xml:space="preserve">    854 Educación postsecundaria</t>
  </si>
  <si>
    <t xml:space="preserve">    855 Otra educación</t>
  </si>
  <si>
    <t xml:space="preserve">    856 Actividades auxiliares a la educación</t>
  </si>
  <si>
    <t xml:space="preserve">    86 Actividades sanitarias</t>
  </si>
  <si>
    <t xml:space="preserve">    861 Actividades hospitalarias</t>
  </si>
  <si>
    <t xml:space="preserve">    862 Actividades médicas y odontológicas</t>
  </si>
  <si>
    <t xml:space="preserve">    869 Otras actividades sanitarias</t>
  </si>
  <si>
    <t xml:space="preserve">    87 Asistencia en establecimientos residenciales</t>
  </si>
  <si>
    <t xml:space="preserve">    871 Asistencia en establecimientos residenciales con cuidados sanitarios</t>
  </si>
  <si>
    <t xml:space="preserve">    872 Asistencia en establecimientos residenciales para personas con discapacidad intelectual, enfermedad mental y drogodependencia</t>
  </si>
  <si>
    <t xml:space="preserve">    873 Asistencia en establecimientos residenciales para personas mayores y con discapacidad física</t>
  </si>
  <si>
    <t xml:space="preserve">    879 Otras actividades de asistencia en establecimientos residenciales</t>
  </si>
  <si>
    <t xml:space="preserve">    88 Actividades de servicios sociales sin alojamiento</t>
  </si>
  <si>
    <t xml:space="preserve">    881 Actividades de servicios sociales sin alojamiento para personas mayores y con discapacidad</t>
  </si>
  <si>
    <t xml:space="preserve">    889 Otros actividades de servicios sociales sin alojamiento</t>
  </si>
  <si>
    <t xml:space="preserve">    90 Actividades de creación, artísticas y espectáculos</t>
  </si>
  <si>
    <t xml:space="preserve">    900 Actividades de creación, artísticas y espectáculos</t>
  </si>
  <si>
    <t xml:space="preserve">    91 Actividades de bibliotecas, archivos, museos y otras actividades culturales</t>
  </si>
  <si>
    <t xml:space="preserve">    910 Actividades de bibliotecas, archivos, museos y otras actividades culturales</t>
  </si>
  <si>
    <t xml:space="preserve">    92 Actividades de juegos de azar y apuestas</t>
  </si>
  <si>
    <t xml:space="preserve">    920 Actividades de juegos de azar y apuestas</t>
  </si>
  <si>
    <t xml:space="preserve">    93 Actividades deportivas, recreativas y de entretenimiento</t>
  </si>
  <si>
    <t xml:space="preserve">    931 Actividades deportivas</t>
  </si>
  <si>
    <t xml:space="preserve">    932 Actividades recreativas y de entretenimiento</t>
  </si>
  <si>
    <t xml:space="preserve">    94 Actividades asociativas</t>
  </si>
  <si>
    <t xml:space="preserve">    941 Actividades de organizaciones empresariales, profesionales y patronales</t>
  </si>
  <si>
    <t xml:space="preserve">    942 Actividades sindicales</t>
  </si>
  <si>
    <t xml:space="preserve">    949 Otras actividades asociativas</t>
  </si>
  <si>
    <t xml:space="preserve">    95 Reparación de ordenadores, efectos personales y artículos de uso doméstico</t>
  </si>
  <si>
    <t xml:space="preserve">    951 Reparación de ordenadores y equipos de comunicación</t>
  </si>
  <si>
    <t xml:space="preserve">    952 Reparación de efectos personales y artículos de uso doméstico</t>
  </si>
  <si>
    <t xml:space="preserve">    96 Otros servicios personales</t>
  </si>
  <si>
    <t xml:space="preserve">    960 Otros servicios personales</t>
  </si>
  <si>
    <t>09 Cataluña</t>
  </si>
  <si>
    <t>Notas:</t>
  </si>
  <si>
    <t xml:space="preserve">Fuente: </t>
  </si>
  <si>
    <t>Medi ambient</t>
  </si>
  <si>
    <t>Eficiència energètica i energies renovables</t>
  </si>
  <si>
    <t>Emissions de GEH</t>
  </si>
  <si>
    <t>Impactes físics del canvi climàtic</t>
  </si>
  <si>
    <t>Gestió sostenible de l'aigua</t>
  </si>
  <si>
    <t>Gestió de residus i materials perillosos</t>
  </si>
  <si>
    <t>Biodiversitat i ecosistemes</t>
  </si>
  <si>
    <t>Disseny del producte i gestió del cicle de vida</t>
  </si>
  <si>
    <t>Oportunitats de tecnologies/aplicacions sostenibles</t>
  </si>
  <si>
    <t>Subministrament de matèries primeres / productes venuts</t>
  </si>
  <si>
    <t>Qualitat de l'aire</t>
  </si>
  <si>
    <t>Seguretat química</t>
  </si>
  <si>
    <t xml:space="preserve">Materials d'embalatge
</t>
  </si>
  <si>
    <t>Social</t>
  </si>
  <si>
    <t>Seguretat i salut laboral</t>
  </si>
  <si>
    <t>Desenvolupament del capital humà</t>
  </si>
  <si>
    <t>Ciberseguretat</t>
  </si>
  <si>
    <t>Protecció de dades</t>
  </si>
  <si>
    <t>Seguretat i qualitat del producte</t>
  </si>
  <si>
    <t>Benestar del client</t>
  </si>
  <si>
    <t>Condicions laborals</t>
  </si>
  <si>
    <t>Pràctiques de venda i etiquetatge</t>
  </si>
  <si>
    <t xml:space="preserve">Compromís dels empleats, diversitat i inclusió
</t>
  </si>
  <si>
    <t>Oportunitats de nutrició i salut</t>
  </si>
  <si>
    <t>Estàndards laborals en la cadena de valor</t>
  </si>
  <si>
    <t>Assequibilitat i accés als serveis</t>
  </si>
  <si>
    <t>Relacions amb les comunitats afectades</t>
  </si>
  <si>
    <t>Governança</t>
  </si>
  <si>
    <t>Bon govern</t>
  </si>
  <si>
    <t>Competència responsable</t>
  </si>
  <si>
    <t>Gestió de riscos d'incidents crítics</t>
  </si>
  <si>
    <t>Gestió de riscos sistèmics</t>
  </si>
  <si>
    <t>Gestió de la cadena de subministrament</t>
  </si>
  <si>
    <t>Resiliència del model de negoci</t>
  </si>
  <si>
    <t>Total PIMES CAT</t>
  </si>
  <si>
    <t>Indústria alimentària i de begudes</t>
  </si>
  <si>
    <t>Indústria de la moda i tèxtil</t>
  </si>
  <si>
    <t>Indústria de fusta i paper</t>
  </si>
  <si>
    <t>Altres indústries manufactureres</t>
  </si>
  <si>
    <t>Indústries de serveis d'aigua i tractament de residus</t>
  </si>
  <si>
    <t>Construcció</t>
  </si>
  <si>
    <t>Serveis especialistes de construcció</t>
  </si>
  <si>
    <t>Serveis tècnics d'arquitectura i enginyeria; assaigs i anàlisis tècniques</t>
  </si>
  <si>
    <t>Venda i reparació de vehicles de motor i motocicletes</t>
  </si>
  <si>
    <t>Comerç a l'engròs i intermediaris del comerç, excepte de vehicles de motor i motocicletes</t>
  </si>
  <si>
    <t>Comerç al detall, excepte de vehicles de motor i motocicletes</t>
  </si>
  <si>
    <t>Transport terrestre</t>
  </si>
  <si>
    <t>Programació, consultoria i altres activitats relacionades amb la informàtica</t>
  </si>
  <si>
    <t>Activitats auxiliars als serveis financers i les assegurances</t>
  </si>
  <si>
    <t>Activitats jurídiques i de comptabilitat</t>
  </si>
  <si>
    <t>Activitats de les seus centrals; activitats de consultoria de gestió empresarial</t>
  </si>
  <si>
    <t>Activitats administratives d'oficina i altres activitats auxiliars a les empreses</t>
  </si>
  <si>
    <t>Activitats immobiliàries</t>
  </si>
  <si>
    <t>Publicitat i estudis de mercat (màrqueting)</t>
  </si>
  <si>
    <t>Activitats relacionades amb l'ocupació</t>
  </si>
  <si>
    <t>Serveis a edificis i activitats de jardineria</t>
  </si>
  <si>
    <t>Educació</t>
  </si>
  <si>
    <t>Activitats sanitàries</t>
  </si>
  <si>
    <t>Mediambiental</t>
  </si>
  <si>
    <t>Oportunitats de tecnologies / aplicacions sostenibles</t>
  </si>
  <si>
    <t>Oportunitats de construcció sostenible</t>
  </si>
  <si>
    <t>Salut i seguretat laboral</t>
  </si>
  <si>
    <t>Practiques de venda i etiquetatge</t>
  </si>
  <si>
    <t>Compromís dels empleats, diversitat i inclusió</t>
  </si>
  <si>
    <t>Estàndards de treball en la cadena de valor</t>
  </si>
  <si>
    <t>Accés i assequibilitat</t>
  </si>
  <si>
    <t>Gestió de riscos d'incidents critics</t>
  </si>
  <si>
    <t>Descripció</t>
  </si>
  <si>
    <t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t>
  </si>
  <si>
    <t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t>
  </si>
  <si>
    <t>Els impactes físics del canvi climàtic són aquells que experimenta, experimentarà o ja ha experimentat l'empresa vinculats a modificacions en variables climàtiques. Per exemple, la manca d'aigua a causa d'una sequera prolongada, danys provocats per inundacions causades per una tempesta especialment forta, pedregades o els costos en què l'empresa ha d'incórrer per adaptar-se a un clima canviant.</t>
  </si>
  <si>
    <t xml:space="preserve">La gestió sostenible de l'aigua tracta d'assegurar que el consum i ús d'aquesta aigua per part de l'empresa estiguin alineats amb la capacitat de recuperar-se de l'ecosistema i no generin impactes negatius. Les necessitats de consumir aigua estan lligades al sector i a la ubicació de la planta. És important destacar que les empreses amb operacions en zones amb estrès hídric caldrà que avaluïn com fer una gestió sostenible dels recursos hídrics. Això inclou reduir el consum d'aigua, millorar la captura i reutilització de les aigües grises i millorar el tractament d'aigües residuals, entre d'altres. </t>
  </si>
  <si>
    <t>La gestió de residus perillosos i no perillosos és un àmbit en constant evolució normativa. L'adequada gestió de residus i materials perillosos és clau per reduir la contaminació causada per l'empresa o els productes que posa al mercat. Optimitzar el disseny i la producció i treballar paral·lelament a millorar la gestió de residus és clau per transicionar envers una economia circular que redueixi la necessitat d'explotació de nous recursos naturals. Per tant, les empreses que gestionen els seus residus i eviten la seva generació són més sostenibles i estan més alineades amb els principis de l'economia circular.</t>
  </si>
  <si>
    <t>Aquesta categoria se centra en els impactes de les operacions o els actius d'una empresa sobre ecosistemes i la seva biodiversitat. Les activitats amb potencials impactes significatius són aquelles vinculades amb canvis en l'ús del sòl per a exploració/explotació de recursos naturals, construcció, agricultura extensiva, etc. Els impactes poden produir pèrdua de biodiversitat, destrucció d'hàbitats, deforestació i pèrdua de serveis ecosistèmics bàsics. Les empreses haurien d'avaluar les seves dependències i impactes sobre el capital natural (natura), mitigar els riscos associats i fomentar un impacte positiu en totes les fases de la cadena de valor de l'empresa.</t>
  </si>
  <si>
    <t>El disseny dels productes i els seus cicles de vida són molt importants per gestionar l'impacte mediambiental de l'empresa. L'ecodisseny pot facilitar la reparació i el manteniment del producte i millorar-ne la tria dels materials més adequats i la reuitilització. Un correcte ecodisseny assegura una reducció dels impactes en tot el cicle de vida del producte. Les empreses que tenen en compte els impactes durant tot el cicle de vida permeten reduir l'impacte total del producte o servei en l'ús de materials, disseny industrial, producció i gestió de residus. D'aquesta manera, les empreses s'adapten als esquemes de responsabilitat ampliada del productor o futures normatives enfocades a la circularitat de l'economia.</t>
  </si>
  <si>
    <t xml:space="preserve">Les oportunitats de tecnologies/aplicacions sostenibles són rellevants en aquells sectors on hi ha tecnologies descarbonitzades que poden ajudar l'empresa a assolir els seus objectius de reducció d'emissons. Per exemple, la instal·lació de renovables en el sector d'energia o les aplicacions de tecnologies verdes a la construcció de nous edificis per al sector de l'edificació són oportunitats importants per diferenciar-se de la competència en termes de sostenibilitat. La sostenibilitat planteja moltes oportunitats que asseguren una reducció de les despeses de l'empresa a llarg termini.
</t>
  </si>
  <si>
    <t xml:space="preserve">El subministrament de matèries primeres és un tema crucial per a la sostenibilitat d'aquells sectors molt intensius en materials. Aquí les empreses haurien d'avaluar oportunitats per a una adquisició de matèries de manera sostenible amb proveïdors confiables i certificats i estratègies de recuperació de material que es pugui recuperar com a matèria primera. Aquest tema pot ser important tant per a empreses que adquireixen matèries primeres com per a empreses que adquireixen prefabricats o productes. Un exemple és la cadena de subministrament d'empreses alimentàries, on és obligatori poder demostrar que el producte utilitzat no prové de zones amb alta deforestació. </t>
  </si>
  <si>
    <t>Les emissions de contaminants com el diòxid de sofre (SOx), el diòxid de nitrogen (NOx) i els Compostos Orgànics Volàtils (VOC), entre d'altres, poden tenir un impacte significatiu sobre la qualitat de l'aire. Una mala qualitat de l'aire pot tenir efectes negatius tant sobre el medi ambient com sobre la salut de les comunitats afectades. Per tant, les empreses que duen a terme operacions que produeixen emissions a l'aire han d'avaluar el seu impacte sobre la qualitat de l'aire mitjançant controls regulars duts a terme per l'autoritat ambiental competent. Les empreses podrien considerar la instal·lació de filtres i altres mesures destinades a reduir les emissions de contaminants atmosfèrics.</t>
  </si>
  <si>
    <t>Garantir la seguretat química és de gran importància per preservar els ecosistemes i protegir les comunitats properes a instal·lacions que empren substàncies químiques perilloses. Les empreses que comercialitzen productes que contenen substàncies químiques perilloses susceptibles d'entrar en contacte amb l'entorn natural o els usuaris d'aquests productes és essencial que prenguin totes les mesures necessàries per prevenir aquesta situació. Millorar la seguretat química pot implicar la recerca d'alternatives de materials per a l'ús en els seus productes, dissenyar productes de manera segura per prevenir fuites de substàncies i elaborar un pla de gestió de residus al final del cicle de vida del producte.</t>
  </si>
  <si>
    <t xml:space="preserve">Els materials d'embalatge son part del dia a dia i en certs casos acaben a la natura. És important que el productor faci un exercici d'ecodisseny que asseguri el mínim ús de material i la màxima reciclabilitat. </t>
  </si>
  <si>
    <t>Les oportunitats de tecnologies/aplicacions sostenibles són rellevants per als sectors on hi ha tecnologies verdes o aplicacions sostenibles que es podrien implementar per afavorir la sostenibilitat de l'empresa. Per exemple, la instal·lació de capacitat de renovables en el sector de l'energia o les aplicacions de tecnologies verdes en la construcció de nous edificis per al sector de l'edificació són oportunitats importants per diferenciar-se de la competència en termes de sostenibilitat.</t>
  </si>
  <si>
    <t>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t>
  </si>
  <si>
    <t>El desenvolupament del capital humà pot ser un factor important per a empreses en sectors que requereixen coneixements o habilitats específiques. Les empreses que no inverteixen en el desenvolupament dels seus empleats poden perdre competitivitat en el mercat laboral, la qual cosa pot afectar la seva capacitat d'atreure i mantenir personal capacitat. Per assegurar la sostenibilitat social i econòmica en el futur, l'empresa pot oferir oportunitats de creixement al seu personal. En la mateixa línia, per mantenir una posició competitiva al mercat, les empreses han d'invertir en la formació i educació dels seus empleats.</t>
  </si>
  <si>
    <t>La ciberseguretat tracta sobre la seguretat dels sistemes informàtics de les empreses. Aquests sistemes poden contenir informació crucial per a les operacions de l'empresa i/o dels seus clients, per la qual cosa és important comptar amb un bon nivell de protecció. Les empreses poden millorar la seva seguretat si assignen un responsable de ciberseguretat al departament d'IT. Addicionalment, podrien dur a terme proves de seguretat periòdiques i establir protocols per contenir qualsevol risc digital, entre d'altres.</t>
  </si>
  <si>
    <t>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t>
  </si>
  <si>
    <t>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t>
  </si>
  <si>
    <t>Alguns productes poden tenir un impacte sobre el benestar a llarg termini dels clients. Això no es refereix a riscos de seguretat immediats, sinó a efectes que es desenvolupen amb el temps. Exemples d'aquests tipus d'impacte inclouen l'ús d'antibiòtics en la producció de carn, efectes negatius sobre la salut causats per aliments amb alt contingut de sal, sucre i greix i l'ús de substàncies que poden tenir efectes perjudicials després de llargs períodes d'exposició. Algunes mesures per protegir el benestar dels clients inclouen la implementació de mètodes de producció segurs i l'adaptació de receptes de productes per reduir la quantitat d'ingredients perjudicials.</t>
  </si>
  <si>
    <t>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t>
  </si>
  <si>
    <t>És essencial mantenir Bones Pràctiques en la venda i l'etiquetatge de productes per prevenir qualsevol pràctica enganyosa. Les pràctiques enganyoses poden portar els consumidors a triar un producte que no s'ajusti a les seves necessitats o requeriments. Per tant, per garantir Bones Pràctiques en la venda i l'etiquetatge, una empresa ha de gestionar la transparència de la informació relacionada amb els seus productes, operacions i cadenes de valor. A més, és fonamental proporcionar informació precisa i rellevant sobre els productes, sense ocultar desavantatges o altres tipus d'informació d'interès.</t>
  </si>
  <si>
    <t>El compromís dels empleats i la promoció de la diversitat i inclusió a l'empresa són temes socials de gran rellevància. Aquests aspectes asseguren que la força laboral sigui diversa i que s'ofereixin oportunitats sense discriminació, la qual cosa permet la inclusió de membres de les comunitats locals i els consumidors dels productes de l'empresa. Per fomentar el compromís, la diversitat i la inclusió en l'empresa, és fonamental establir polítiques antidiscriminatòries en el procés de reclutament i promoure una cultura corporativa inclusiva.</t>
  </si>
  <si>
    <t>Particularment en la indústria alimentària i de begudes, les oportunitats relacionades amb la nutrició i la salut són fonamentals per proporcionar productes de més qualitat als consumidors. Des d'una perspectiva de sostenibilitat social, és crucial que les empreses aprofitin les oportunitats per oferir productes amb un major valor nutricional i beneficis per a la salut dels consumidors. Aquelles empreses que aprofiten aquestes oportunitats poden destacar en el mercat, la qual cosa al seu torn contribueix a la seva sostenibilitat econòmica.</t>
  </si>
  <si>
    <t>És crucial mantenir alts estàndards laborals i condicions de treball dignes per a tots els empleats en la cadena de valor. L'empresa s'ha d'assegurar que tots els seus proveïdors respectin els drets laborals i humans, la qual cosa inclou garantir una remuneració justa, horaris laborals adequats i la prohibició del treball forçós i el treball infantil. Per assegurar condicions laborals acceptables en tota la cadena de valor, l'empresa pot requerir el compliment d'un codi de conducta per part dels seus proveïdors i dur a terme auditories en alguns d'ells per verificar-ne el compliment.</t>
  </si>
  <si>
    <t>L'accés i l'assequibilitat, especialment de productes i serveis bàsics, és important per a la igualtat d'oportunitats. Les empreses haurien de gestionar els preus i costos de manera responsable per oferir els productes i serveis (bàsics) a un preu assequible per a totes les persones que ho necessitin. Addicionalment, s'hauria d'avaluar l'accessibilitat de productes, serveis i edificis a totes les persones, incloent-hi les persones amb discapacitat, i prendre mesures per assegurar l'accessibilitat universal.</t>
  </si>
  <si>
    <t>Les organitzacions tenen un impacte sobre les comunitats on operen, tant a través d'impactes físics com a través de la interacció amb els membres d'aquestes comunitats que treballen a l'empresa. Per tant, és fonamental establir relacions sòlides i respectuoses envers les comunitats afectades a través d'un diàleg que permeti comprendre i abordar els impactes negatius generats per les operacions. Algunes eines que es poden utilitzar per mantenir relacions efectives amb les comunitats inclouen la realització de reunions periòdiques amb representants de la comunitat, la incorporació de membres de la societat a l'empresa i el manteniment d'una comunicació constant amb organitzacions locals.</t>
  </si>
  <si>
    <t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t>
  </si>
  <si>
    <t>La competència responsable és crucial per combatre els monopolis i el lobbisme en les indústries. El seu objectiu principal és prevenir preus excessius, baixa qualitat en productes i serveis i d'altres irregularitats en el mercat. És essencial que qualsevol col·laboració entre empreses es realitzi de manera responsable i amb el propòsit de millorar els productes i serveis oferts als clients.</t>
  </si>
  <si>
    <t xml:space="preserve">La gestió de riscos d'incidents crítics és rellevant per a organitzacions que duen a terme activitats o operacions perilloses. En aquest context, les organitzacions que identifiquen, comprenen, prevenen i minimitzen els riscos d'incidents que podrien ocórrer aconseguiran un millor acompliment en termes de sostenibilitat en la seva governança corporativa. Les empreses poden millorar el seu rendiment mitjançant la promoció d'una cultura de seguretat, la implementació de tecnologies que ajudin en la gestió de riscos, la realització d'anàlisi de probabilitat i impacte dels riscos i l'aplicació de mesures per mitigar aquests riscos, entre altres accions.
</t>
  </si>
  <si>
    <t xml:space="preserve">La gestió de riscos sistèmics s'enfoca a la contribució d'una empresa pel que fa als riscos sistèmics que amenacen els sistemes econòmics, socials, ambientals i tecnològics dels quals la societat depèn. Exemples d'aquests riscos inclouen el consum excessiu d'aigua per part d'una empresa que opera en una zona que ja pateix estrès hídric. Per millorar la seva gestió de la sostenibilitat, l'organització pot avaluar els seus impactes i aplicar plans i mesures de mitigació, entre altres accions.
</t>
  </si>
  <si>
    <t>La gestió de les cadenes de subministrament és essencial per supervisar les externalitats ambientals i socials generades per les activitats dels proveïdors. Dins de les cadenes de valor, poden sorgir problemes relacionats amb la responsabilitat ambiental, els drets humans, les condicions laborals, l'ètica i la corrupció, entre altres aspectes. La gestió de les cadenes de subministrament pot implicar l'avaluació, selecció, seguiment i compromís amb els proveïdors amb l'objectiu de reduir i mitigar els impactes mediambientals i socials.</t>
  </si>
  <si>
    <t xml:space="preserve">La resiliència del model de negoci fa referència a la capacitat de l'empresa d'adaptar-se als canvis relacionats amb les transicions ASG (mediambientals, socials i de bon govern). Això inclou la capacitat de mitigar riscos (com els reputacionals, legals i físics) i aprofitar les oportunitats que presenten els possibles nous mercats i productes i la diferenciació basada en la sostenibilitat. Les empreses més resilients compten amb sistemes de gestió de la sostenibilitat que identifiquen, avaluen i responen als riscos i les oportunitats potencials.
</t>
  </si>
  <si>
    <t>Indicadors</t>
  </si>
  <si>
    <t>-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t>
  </si>
  <si>
    <t>- % de proveïdors principals (valor de contractes) avaluats en temes de sostenibilitat
- Petjada de carboni de la cadena de subministrament
- % d'energia renovable en la cadena de subministrament
- Reducció de residus i reciclatge dins de la cadena de subministrament (ecodisseny, embalatge, programes de retorn (take-back))
- Certificació mediambiental i social de proveïdors
- Compliment dels drets laborals 
- Avaluació del cicle de vida dels productes</t>
  </si>
  <si>
    <t>Alta relevancia</t>
  </si>
  <si>
    <t>Relevancia significativa</t>
  </si>
  <si>
    <t>Relevancia elevada</t>
  </si>
  <si>
    <t>Sin especial relevancia</t>
  </si>
  <si>
    <t>Industria</t>
  </si>
  <si>
    <t>Tema</t>
  </si>
  <si>
    <t>Fuente</t>
  </si>
  <si>
    <t>URL</t>
  </si>
  <si>
    <t>Construcción</t>
  </si>
  <si>
    <t>Matrice de materialidad</t>
  </si>
  <si>
    <t>SASB: Home Builders</t>
  </si>
  <si>
    <t>https://sasb.org/standards/materiality-finder/find/?industry%5B0%5D=IF-EN</t>
  </si>
  <si>
    <t>MSCI: Real Estate Development</t>
  </si>
  <si>
    <t>https://www.msci.com/our-solutions/esg-investing/esg-industry-materiality-map</t>
  </si>
  <si>
    <t>Servicios Técnicos de arquitectura e ingeniería</t>
  </si>
  <si>
    <t>SASB: Engineering &amp; Construction Services</t>
  </si>
  <si>
    <t>https://sasb.org/standards/materiality-finder/find/?industry%5B0%5D=IF-HB</t>
  </si>
  <si>
    <t>MSCI: Real Estate Services</t>
  </si>
  <si>
    <t>Publicidad (Marketing)</t>
  </si>
  <si>
    <t>SASB: Advertising &amp; Marketing</t>
  </si>
  <si>
    <t>https://sasb.org/standards/materiality-finder/find/?industry%5B0%5D=SV-AD</t>
  </si>
  <si>
    <t>SASB: Professional and Commercial Services</t>
  </si>
  <si>
    <t>https://sasb.org/standards/materiality-finder/find/?industry%5B0%5D=SV-PS</t>
  </si>
  <si>
    <t>MSCI: Advertising</t>
  </si>
  <si>
    <t>Hostelería</t>
  </si>
  <si>
    <t>SASB: Restaurants</t>
  </si>
  <si>
    <t>MSCI: Restaurants</t>
  </si>
  <si>
    <t>Inmobilarias</t>
  </si>
  <si>
    <t>SASB - Real Estate</t>
  </si>
  <si>
    <t>https://sasb.org/standards/materiality-finder/find/?industry%5B0%5D=IF-RE</t>
  </si>
  <si>
    <t>SASB - Real Estate Services</t>
  </si>
  <si>
    <t>https://sasb.org/standards/materiality-finder/find/?industry%5B0%5D=IF-RS</t>
  </si>
  <si>
    <t>MSCI - Diversified REITs</t>
  </si>
  <si>
    <t>Educación</t>
  </si>
  <si>
    <t>SASB: Education</t>
  </si>
  <si>
    <t>https://sasb.org/standards/materiality-finder/find/?industry%5B0%5D=SV-ED</t>
  </si>
  <si>
    <t>MSCI: Education Services</t>
  </si>
  <si>
    <t>Sanitaria</t>
  </si>
  <si>
    <t>SASB: Healthcare Delivery</t>
  </si>
  <si>
    <t>https://sasb.org/standards/materiality-finder/find/?industry%5B0%5D=HC-DY</t>
  </si>
  <si>
    <t>MSCI: Health Care Services</t>
  </si>
  <si>
    <t>MSCI: Health Care Facilities</t>
  </si>
  <si>
    <t>Servicios Professionales</t>
  </si>
  <si>
    <t>MSCI: Research &amp; Consulting Services</t>
  </si>
  <si>
    <t>MSCI: Office Supplies &amp; Services</t>
  </si>
  <si>
    <t>MSCI: Diversified Support Services</t>
  </si>
  <si>
    <t>Servicios IT</t>
  </si>
  <si>
    <t>SASB: Software and IT Services</t>
  </si>
  <si>
    <t>https://sasb.org/standards/materiality-finder/find/?industry%5B0%5D=TC-SI</t>
  </si>
  <si>
    <t>MSCI: Data Processing &amp; Outsources Services</t>
  </si>
  <si>
    <t>Servicios RRHH</t>
  </si>
  <si>
    <t>MSCI: Human Resource and Employment Services</t>
  </si>
  <si>
    <t>Transporte por Carreteras</t>
  </si>
  <si>
    <t>SASB: Road Transportation</t>
  </si>
  <si>
    <t>https://sasb.org/standards/materiality-finder/find/?industry%5B0%5D=TR-RO</t>
  </si>
  <si>
    <t>MSCI: Cargo Ground Transportation</t>
  </si>
  <si>
    <t>MSCI: Passenger Ground Trasnportation</t>
  </si>
  <si>
    <t>Transporte Ferroviaria</t>
  </si>
  <si>
    <t>SASB: Rail Transportation</t>
  </si>
  <si>
    <t>https://sasb.org/standards/materiality-finder/find/?industry%5B0%5D=TR-RA</t>
  </si>
  <si>
    <t>MSCI: Rail Transportation</t>
  </si>
  <si>
    <t>Comercio al por menor</t>
  </si>
  <si>
    <t>MSCI: Consumer discretionary / Broadline Retail</t>
  </si>
  <si>
    <t>MSCI: Consumer discretionary / Apparel Retail</t>
  </si>
  <si>
    <t>SASB: Multiline and Specialty Retailers &amp; Distributors</t>
  </si>
  <si>
    <t>https://sasb.org/standards/materiality-finder/find/?industry%5B0%5D=CG-MR</t>
  </si>
  <si>
    <t>Comercio al por mayor</t>
  </si>
  <si>
    <t>MSCI: Consumer discretionary / distributors</t>
  </si>
  <si>
    <t>Venta y Reparación de Vehículos</t>
  </si>
  <si>
    <t>MSCI: Consumer discretionary / Automobile Manufacturers</t>
  </si>
  <si>
    <t>MSCI: Consumer discretionary / Motorcycle Manufacturers</t>
  </si>
  <si>
    <t>MSCI: Consumer discretionary / Automotive Retail</t>
  </si>
  <si>
    <t>SASB: Automobiles</t>
  </si>
  <si>
    <t>https://sasb.org/standards/materiality-finder/find/?industry%5B0%5D=TR-AU</t>
  </si>
  <si>
    <t>Aquest grup d'activitats és la combinació de CNAE 10 (Indústria de l'alimentació) i CNAE 11 (Producció de begudes). L'enfocament es basa principalment en la fabricació de productes alimentaris i begudes processades. No obstant això, a causa de la importància de la cadena de valor per a la sostenibilitat d'aquestes activitats, es tindrà en compte com gestionar efectivament la sostenibilitat de la cadena de valor.</t>
  </si>
  <si>
    <t>Materials d'embalatge</t>
  </si>
  <si>
    <t>- Petjada hídrica total de l'empresa
      + Cadena de subministrament
      + Operacions directes
      + Distribució
- Consum total d'aigua
- Consum d'aigua per volum de negocis (€) 
- Consum d'aigua per producte (nombre o pes) 
- Consum d'aigua en àrees amb estrès hídric
- Descàrrega total d'aigua 
- Descàrrega total d'aigua en àrees amb estrès hídric
- % de reutilització de l'aigua</t>
  </si>
  <si>
    <r>
      <t>- % d'ingredients adquirits amb certificació de sostenibilitat
- % dels principals proveïdors auditats en temes de sostenibilitat
- Emissions de CO</t>
    </r>
    <r>
      <rPr>
        <vertAlign val="subscript"/>
        <sz val="10"/>
        <rFont val="Arial"/>
        <family val="2"/>
      </rPr>
      <t>2</t>
    </r>
    <r>
      <rPr>
        <sz val="10"/>
        <rFont val="Arial"/>
        <family val="2"/>
      </rPr>
      <t xml:space="preserve"> per kg d'ingredient (abast 3) 
- Consum d'aigua per kg o litre d'ingredient
- Hectàrea de conversió de la terra (per exemple, deforestació)
- % pèrdues/malbaratament alimentari generades en relació amb l'entrada de productes
- Costos estalviats per l'aprofitament dels productes enretirats que no han esdevingut pèrdues/malbaratament alimentaris</t>
    </r>
  </si>
  <si>
    <t>- Reducció en pes/volum de materials d'embalatge
- % de materials reciclats en embalatge
- % de materials d'embalatge reciclables
- Materials òrganics (en situacions on el reciclatge no és viable)</t>
  </si>
  <si>
    <t>- Emissions de SOx, NOx i Compostos Orgànics Volàtils (VOC)
- Mesurament de la qualitat de l'aire interior
- Emissions de NOx dels vehicles de transport a les ciutats</t>
  </si>
  <si>
    <t>- Petjada de carboni de l'empresa (abast 1, 2 i 3), incloent:
+ emissions relacionades amb els combustibles fòssils
+ emissions relacionades amb l'electricitat i el vapor adquirit 
+ emissions de gasos refrigerants (recàrregues d'equips frigorífics) 
+ Altres emissions vinculades amb els materials usats, viatges per a negocis, etc. 
- Capacitat per generar energia renovable 
- Canvis d'emissions i capacitat de renovables</t>
  </si>
  <si>
    <t>- % dels ingredients/materials que compleixen la legislació UE d'agroquímics o certificacions de sostenibilitat
- % dels ingredients de fonts orgàniques 
- Reducció en l'ús d'agroquímics en la cadena de valor
- Ús total (pes o volum) de químics identificats en els processos de producció
- Reducció en l'ús de químics identificats en els processos de producció
- % del personal que treballa amb químics que tenen la formació adequada</t>
  </si>
  <si>
    <t>- Taxa de queixes sobre els productes
- Taxa d'enretirades dels productes 
- Taxa de no-conformitats amb requisits de qualitat i/o seguretat
- Taxa de contaminació per objectes estranys
- Seguretat microbiològica
- Gestió d'al·lèrgens 
- Vida útil del producte</t>
  </si>
  <si>
    <t>- Contingut de sucres, greixos i sal 
- Índex de nutrients crítics (vitamines, minerals i fibres)
- Contingut nutricional beneficiós 
- Nombre de productes saludables
- Percentatge de vendes de productes saludables
- Compliment de l'etiquetatge nutricional
- Inversió en recerca i desenvolupament en nutrició saludable</t>
  </si>
  <si>
    <t>- % de compliment de proveïdors de les normatives laborals
- % d'empleats amb contractes formals 
- Proveïdors certificats socialment (% valor dels contractes) 
- Participació dels proveïdors en iniciatives de responsabilitat social 
- Nombre de proveïdors auditats per condicions laborals
- Ús d'equips de protecció personal
- Disponibilitat d'assistència mèdica 
- Disponibilitat d'aigua potable i serveis sanitaris</t>
  </si>
  <si>
    <t>- % dels productes en venda que compleixen la legislació d'etiquetes
- Nombre de denúncies de pràctiques de publicitat, venda o etiquetatge enganyosos
- Nombre d'instàncies on l'empresa ha hagut d'adaptar la publicitat d'un producte per informació falsa</t>
  </si>
  <si>
    <t>- Composició de la junta directiva
- % de membres independents dins la junta directiva
- Existència de canals de denúncies i protecció de les parts interessades involucrades
- % de denúncies investigades
- Compliment de codis (ètic, conducta, etc.) i normatives
- % dels empleats (incloent-hi la junta directiva) amb remuneració basada en acompliment de sostenibilitat
- Auditories i certificacions independents</t>
  </si>
  <si>
    <t>- % de proveïdors principals (valor de contractes) avaluats en temes de sostenibilitat
- Petjada de carboni de la cadena de subministrament
- % d'energia renovable en la cadena de subministrament
- Reducció de residus i reciclatge dins de la cadena de subministrament (ecodisseny, embalatge, programes de retorn)
- Certificació mediambiental i social de proveïdors
- Compliment dels drets laborals 
- Avaluació del cicle de vida de productes
- % generació de pèrdues/malbaratament alimentaris per causa de generació vinculada a processos externs (transport, proveïdor, altres)</t>
  </si>
  <si>
    <t>Mesures de gestió generals</t>
  </si>
  <si>
    <t>Aplica a</t>
  </si>
  <si>
    <t>Font</t>
  </si>
  <si>
    <t>Bon govern - conducta de negocis</t>
  </si>
  <si>
    <t>Totes</t>
  </si>
  <si>
    <t>Comptar amb un codi de conducta que estableixi normes per a tots els empleats. Aquest document s'haurà d'alinear amb les normatives vigents per al sector, incloent especialment temes ambientals (contaminació de l'aire, aigua, sòl, impactes sobre la biodiversitat, emissions GEH, etc.), drets humans, condicions laborals, seguretat, anticorrupció i suborn, promoció de la igualtat (de gènere) i la inclusió de tothom.</t>
  </si>
  <si>
    <t>Consulteu més informació sobre el codi de conducta</t>
  </si>
  <si>
    <t xml:space="preserve">Bon govern - control de qualitat
</t>
  </si>
  <si>
    <t>L'empresa ha d'establir un sistema de gestió i control de qualitat per a tots els serveis i productes oferts a fi d'assegurar la qualitat del producte i la seguretat per als clients. És una bona pràctica certificar aquest sistema de gestió amb una ISO9001.</t>
  </si>
  <si>
    <t xml:space="preserve">Vegeu informació sobre la ISO 9001
</t>
  </si>
  <si>
    <t>L'empresa ha d'establir un sistema de gestió mediambiental que permeti identificar i avaluar els impactes potencials i reals i els riscos i les oportunitats relacionats amb la sostenibilitat de l'empresa. Els marcs per desenvolupar un sistema de gestió mediambiental són l'EMAS de la Unió Europea i la ISO14001.</t>
  </si>
  <si>
    <t>Consulteu informació sobre EMAS</t>
  </si>
  <si>
    <t xml:space="preserve">Vegeu informació sobre la ISO 14001.
</t>
  </si>
  <si>
    <t>General - estat d'informe no financer</t>
  </si>
  <si>
    <t xml:space="preserve">Consulteu més informació sobre la CSRD
</t>
  </si>
  <si>
    <t xml:space="preserve">Consulteu la Llei 11/2018
</t>
  </si>
  <si>
    <t xml:space="preserve">Consulteu més informació sobre el marc GRI
</t>
  </si>
  <si>
    <t xml:space="preserve">Medi ambient - eficiència energètica
</t>
  </si>
  <si>
    <t xml:space="preserve">L'eficiència energètica exerceix un paper fonamental en la reducció de les emissions de gasos amb efecte d'hivernacle de qualsevol empresa. Millorar l'eficiència energètica permet a una empresa generar valor amb un menor ús de recursos escassos. El document BREF de la Unió Europea proporciona orientació específica per assolir un ús eficient dels recursos i l'energia en diversos sectors i promou l'adopció de pràctiques sostenibles i alineades amb els objectius de la UE. Això no només beneficia la sostenibilitat econòmica de l'empresa, sinó que també contribueix a combatre el canvi climàtic.
</t>
  </si>
  <si>
    <t>Consulteu el Document de referència sobre les millors tecnologies disponibles en termes d'eficiència energètica</t>
  </si>
  <si>
    <t>Protecció de dades - política de protecció de dades</t>
  </si>
  <si>
    <t>L'empresa ha d'establir una política de protecció de dades, alineades amb la llei de protecció de dades de la UE. Tot el personal ha de rebre formació per gestionar dades del client de manera adequada i hi ha d'haver un protocol de contigència per a casos d'emergència. Adjunt a la columna de fonts trobareu un exemple d'una política de protecció de dades de l'Agència Catalana de Turisme.</t>
  </si>
  <si>
    <t xml:space="preserve">Consulteu un exemple d'una política de protecció de dades
</t>
  </si>
  <si>
    <t>Bon govern - conducta de proveïdors</t>
  </si>
  <si>
    <t xml:space="preserve">Consulteu un exemple de codi de conducta/ètica de proveïdors
</t>
  </si>
  <si>
    <t xml:space="preserve">Social - Pla d'igualtat de gènere
</t>
  </si>
  <si>
    <t xml:space="preserve">Empreses amb més de 50 treballadors
</t>
  </si>
  <si>
    <t>Consulteu el Reial decret 901/2020</t>
  </si>
  <si>
    <t>Consulteu la Llei 7/2022</t>
  </si>
  <si>
    <r>
      <t xml:space="preserve">Consulteu més informació sobre el certificat </t>
    </r>
    <r>
      <rPr>
        <i/>
        <u/>
        <sz val="10"/>
        <color theme="10"/>
        <rFont val="Arial"/>
        <family val="2"/>
      </rPr>
      <t>Cradle to Cradle</t>
    </r>
    <r>
      <rPr>
        <u/>
        <sz val="10"/>
        <color theme="10"/>
        <rFont val="Arial"/>
        <family val="2"/>
      </rPr>
      <t xml:space="preserve">
</t>
    </r>
  </si>
  <si>
    <r>
      <t xml:space="preserve">Consulteu informació sobre el </t>
    </r>
    <r>
      <rPr>
        <i/>
        <u/>
        <sz val="10"/>
        <color theme="10"/>
        <rFont val="Arial"/>
        <family val="2"/>
      </rPr>
      <t>Sustainable Packaging Coalition</t>
    </r>
    <r>
      <rPr>
        <u/>
        <sz val="10"/>
        <color theme="10"/>
        <rFont val="Arial"/>
        <family val="2"/>
      </rPr>
      <t xml:space="preserve">
</t>
    </r>
  </si>
  <si>
    <t xml:space="preserve">Consulteu informació sobre la Llei de plàstics d'un sol ús
</t>
  </si>
  <si>
    <t xml:space="preserve">Consulteu informació sobre impostos sobre els envasos de plàstic no reutilitzables
</t>
  </si>
  <si>
    <t xml:space="preserve">Consulteu informació sobre l'EU Ecolabel
</t>
  </si>
  <si>
    <r>
      <t xml:space="preserve">Consulteu informació sobre la iniciativa </t>
    </r>
    <r>
      <rPr>
        <i/>
        <u/>
        <sz val="10"/>
        <color theme="10"/>
        <rFont val="Arial"/>
        <family val="2"/>
      </rPr>
      <t>Lean and Green</t>
    </r>
    <r>
      <rPr>
        <u/>
        <sz val="10"/>
        <color theme="10"/>
        <rFont val="Arial"/>
        <family val="2"/>
      </rPr>
      <t xml:space="preserve">
</t>
    </r>
  </si>
  <si>
    <t xml:space="preserve">Consulteu informació sobre l'Oficina Catalana de Canvi Climàtic
</t>
  </si>
  <si>
    <t xml:space="preserve">Vegeu la ISO 20400:2017 sobre adquisició sostenible
</t>
  </si>
  <si>
    <t>Consulta informació sobre l'estratègia Catalana de Seguretat i Salut Laboral</t>
  </si>
  <si>
    <t xml:space="preserve">Bon govern - Pla de govern de la Generalitat de Catalunya </t>
  </si>
  <si>
    <t xml:space="preserve">Consulta informació sobre el  Pla de govern de la Generalitat de Catalunya 
</t>
  </si>
  <si>
    <t>Bon govern - Guia de criteris per a l’elaboració de plans i programes de la Generalitat de Catalunya</t>
  </si>
  <si>
    <t xml:space="preserve">Consulta informació sobrela Guia de criteris per a l’elaboració de plans i programes de la Generalitat de Catalunya
</t>
  </si>
  <si>
    <t xml:space="preserve">Temes específics per a la indústria alimentària i de begudes
</t>
  </si>
  <si>
    <t>Diversos</t>
  </si>
  <si>
    <r>
      <t>Per millorar la sostenibilitat del sector alimentari, la Unió Europea ha desenvolupat una estratègia De la granja a taula (</t>
    </r>
    <r>
      <rPr>
        <i/>
        <sz val="10"/>
        <rFont val="Arial"/>
        <family val="2"/>
      </rPr>
      <t>Farm to Fork</t>
    </r>
    <r>
      <rPr>
        <sz val="10"/>
        <rFont val="Arial"/>
        <family val="2"/>
      </rPr>
      <t xml:space="preserve">) que proposa una varietat de mesures i legislacions amb aquesta finalitat. Aquestes mesures inclouen el codi de conducta per fomentar la responsabilitat dels negocis en el sector i estimular la publicitat honesta sobre els productes. Addicionalment, s'ha implementat una iniciativa per reformular el menjar processat que estableix valors màxims per a certs ingredients. També s'està treballant en la implementació d'un perfil de nutrients del menjar per restringir la promoció de productes alts en greix, sal i sucre. Amb l'objectiu de salvaguardar la seguretat dels aliments, s'ha proposat una revisió de la legislació de materials que poden estar en contacte amb aliments durant el procés de producció i distribució.
</t>
    </r>
  </si>
  <si>
    <r>
      <t>Consulteu l'Estratègia De la granja a taula (</t>
    </r>
    <r>
      <rPr>
        <i/>
        <u/>
        <sz val="10"/>
        <color theme="10"/>
        <rFont val="Arial"/>
        <family val="2"/>
      </rPr>
      <t>Farm to Fork</t>
    </r>
    <r>
      <rPr>
        <u/>
        <sz val="10"/>
        <color theme="10"/>
        <rFont val="Arial"/>
        <family val="2"/>
      </rPr>
      <t xml:space="preserve">)
</t>
    </r>
  </si>
  <si>
    <r>
      <t xml:space="preserve">Medi ambient - subministrament de matèries primeres: </t>
    </r>
    <r>
      <rPr>
        <i/>
        <sz val="10"/>
        <rFont val="Arial"/>
        <family val="2"/>
      </rPr>
      <t>Rain Forest Alliance</t>
    </r>
    <r>
      <rPr>
        <sz val="10"/>
        <rFont val="Arial"/>
        <family val="2"/>
      </rPr>
      <t xml:space="preserve">
</t>
    </r>
  </si>
  <si>
    <r>
      <t xml:space="preserve">Consulteu el marc RFA - </t>
    </r>
    <r>
      <rPr>
        <i/>
        <u/>
        <sz val="10"/>
        <color theme="10"/>
        <rFont val="Arial"/>
        <family val="2"/>
      </rPr>
      <t>Supply Chain Requirements</t>
    </r>
  </si>
  <si>
    <t xml:space="preserve">Consulteu el marc RFA - Requisits per a agricultors
</t>
  </si>
  <si>
    <t>Social / diversos: Fairtrade</t>
  </si>
  <si>
    <t>Originalment, la certificació Fairtrade se centrava principalment en aspectes socials amb l'objectiu de defensar els drets dels treballadors en la cadena de valor. Alguns dels temes socials incorporats en la certificació Fairtrade són antidiscriminació, protecció de nens, condicions laborals (incloent-hi retribució justa i hores limitades) i seguretat laboral. Avui, la certificació Fairtrade també ha incorporat temes ambientals per al sector alimentari. Això inclou l'ús mínim i segur d'agroquímics, la gestió de residus, la fertilitat de sòls i la gestió sostenible de recursos hídrics.</t>
  </si>
  <si>
    <t xml:space="preserve">Consulteu informació sobre la certificació Fairtrade
</t>
  </si>
  <si>
    <t xml:space="preserve">Consulteu informació sobre el SAI-FSA
</t>
  </si>
  <si>
    <t xml:space="preserve">Consulteu els RSPO Principis i Criteris
</t>
  </si>
  <si>
    <t xml:space="preserve">Consulteu informació sobre l'agricultura regenerativa
</t>
  </si>
  <si>
    <t xml:space="preserve">Consulteu la proposta de la UE per a objectius de reducció del residu alimentari
</t>
  </si>
  <si>
    <t>Consulteu la LlEI 3/2020, d'11 de març, de prevenció de les pèrdues i el malbaratament alimentaris</t>
  </si>
  <si>
    <t>Consulteu la Guia per a la integració de la prevenció de les pèrdues i el malbaratament alimentaris als sistemes de gestió ambiental</t>
  </si>
  <si>
    <t>Guia per a la implantació d'un pla de prevenció i reducció de les pèrdues i el malbaratament alimentaris a les empreses agroalimentàries</t>
  </si>
  <si>
    <r>
      <t xml:space="preserve">Consulteu informació sobre la </t>
    </r>
    <r>
      <rPr>
        <i/>
        <u/>
        <sz val="10"/>
        <color theme="10"/>
        <rFont val="Arial"/>
        <family val="2"/>
      </rPr>
      <t>International Food Waste Coalition</t>
    </r>
    <r>
      <rPr>
        <u/>
        <sz val="10"/>
        <color theme="10"/>
        <rFont val="Arial"/>
        <family val="2"/>
      </rPr>
      <t xml:space="preserve">
</t>
    </r>
  </si>
  <si>
    <t xml:space="preserve">Consulteu el document BREF sobre les millors tecnologies d'aliments, begudes i llet
</t>
  </si>
  <si>
    <t xml:space="preserve">Consulteu el document BREF sobre les millors tecnologies de la preparació d'ocells de corral i porcs
</t>
  </si>
  <si>
    <t xml:space="preserve">Consulteu el document BREF sobre les millors tecnologies d'escorxadors
</t>
  </si>
  <si>
    <t>Medi ambient - Distintiu de garantia de qualitat ambiental</t>
  </si>
  <si>
    <t>El Distintiu de garantia de qualitat ambiental és una etiqueta oficial que atorga la Generalitat de Catalunya a productes i serveis que superen determinats requisits de qualitat ambiental més enllà dels establerts com a obligatoris per la normativa vigent. Està dissenyat per ajudar els consumidors a identificar productes i serveis que han estat produïts de manera responsable i sostenible.</t>
  </si>
  <si>
    <t>Consulteu informació sobre el Distintiu de garantia de qualitat ambiental específic per a molins d'oli</t>
  </si>
  <si>
    <t>Social - Projectes estratègics de desenvolupament econòmic local</t>
  </si>
  <si>
    <t>Consulta informació sobre els projectes estratègics de desenvolupament econòmic local</t>
  </si>
  <si>
    <t>Diversos - Pla de Seguretat Alimentària de Catalunya</t>
  </si>
  <si>
    <t>Consulta informació sobre el Pla de seguretat alimentària de Catalunya 2022-2028</t>
  </si>
  <si>
    <t>Consulta informació sobre les Pautes per a la gestió conjunta dels sistemes d’autocontrol de la Qualitat i Seguretat Alimentàries basats en l’APPCC</t>
  </si>
  <si>
    <t>Diversos - Codi de bones pràctiques comercials (CBPC) a la cadena alimentària de Catalunya</t>
  </si>
  <si>
    <t>Consulta informació sobre el Codi de bones pràctiques comercials (CBPC) a la cadena alimentària de Catalunya</t>
  </si>
  <si>
    <t xml:space="preserve">Aquesta indústria és una agrupació d'activitats CNAE 13, 14 i 15 relacionades amb tèxtils, peces de vestir i cuir. En aquests sectors, la cadena de subministrament pren un paper important, atès que una gran part dels impactes mediambientals i socials es concentren en altres parts del món. Tanmateix, també és important avaluar la sostenibilitat de les activitats mateixes.
</t>
  </si>
  <si>
    <t>- Petjada hídrica total
+ Cadena de subministrament
+ Operacions directes
+ Distribució
- Consum total d'aigua
- Consum d'aigua per volum de negocis (€) 
- Consum d'aigua per producte (nombre o pes) 
- Consum d'aigua en àrees d'estrès hídric
- Descàrrega total d'aigua 
- Descàrrega total d'aigua en àrees d'estrès hídric
- % de reutilització de l'aigua</t>
  </si>
  <si>
    <r>
      <t>- % de materials adquirits amb certificació de sostenibilitat
- % dels principals proveïdors auditats en temes de sostenibilitat
- Proves que els materials no provenen de zones recentment deforestades 
- Emissions de CO</t>
    </r>
    <r>
      <rPr>
        <vertAlign val="subscript"/>
        <sz val="10"/>
        <rFont val="Arial"/>
        <family val="2"/>
      </rPr>
      <t>2</t>
    </r>
    <r>
      <rPr>
        <sz val="10"/>
        <rFont val="Arial"/>
        <family val="2"/>
      </rPr>
      <t xml:space="preserve"> per kg de material (abast 3) 
- Consum d'aigua per kg o litre de material
- Hectàrea de conversió de la terra (per exemple, deforestació)
</t>
    </r>
  </si>
  <si>
    <t>- Petjada de carboni de l'empresa (abast 1, 2 i 3), incloent:
+ emissions relacionades amb combustibles fòssils
+ emissions relacionades amb l'electricitat i el vapor adquirit 
+ emissions de gasos refrigerants
+ Altres emissions vinculades amb els materials usats, viatges per a negocis, etc. 
- Capacitat per generar energia renovable 
- Canvis d'emissions i capacitat de renovables</t>
  </si>
  <si>
    <t xml:space="preserve">- Emissions SOx, NOx i Compostos Orgànics Volàtils (VOC)
- Qualitat de l'aire interior
- Emissions de NOx dels vehicles de transport a les ciutats
</t>
  </si>
  <si>
    <r>
      <t>- Emissions de GEH en tot el cicle de vida del producte
- Necessitat de materials per a tot el cicle de vida del producte
- % de productes dissenyats segons principis d'ecodisseny
- Facilitat de reparació i manteniment del producte
- Modularitat del producte
- Compatibilitat del producte amb components d'altres marques o generals 
- Reciclabilitat del producte 
- % de productes amb programa de retorn (</t>
    </r>
    <r>
      <rPr>
        <i/>
        <sz val="10"/>
        <rFont val="Arial"/>
        <family val="2"/>
      </rPr>
      <t>take back</t>
    </r>
    <r>
      <rPr>
        <sz val="10"/>
        <rFont val="Arial"/>
        <family val="2"/>
      </rPr>
      <t xml:space="preserve">)
</t>
    </r>
  </si>
  <si>
    <r>
      <t>- Consum energètic per unitat produïda
- Consum energètic per € de vendes 
- Reducció d'emissions de CO</t>
    </r>
    <r>
      <rPr>
        <vertAlign val="subscript"/>
        <sz val="10"/>
        <rFont val="Arial"/>
        <family val="2"/>
      </rPr>
      <t>2</t>
    </r>
    <r>
      <rPr>
        <sz val="10"/>
        <rFont val="Arial"/>
        <family val="2"/>
      </rPr>
      <t xml:space="preserve"> 
- Taxa de conversió d'energia (eficiència per procés)
- Hores d'operació dels equips
- Consum energètic per tipus de font
- Ràtio d'energia recuperada
- Percentatge de millora en eficiència energètica
</t>
    </r>
  </si>
  <si>
    <t xml:space="preserve">- % dels materials que compleixen la legislació vigent i/o certificacions de sostenibilitat
- % dels ingredients de fonts orgàniques 
- Reducció en l'ús de (agro)químics en la cadena de valor
- Ús total (pes o volum) de químics identificats en els processos de producció
- Reducció en l'ús de químics identificats en els processos de producció 
- % del personal que treballa amb químics que tenen la formació adequada 
- % de recuperació dels químics utilitzats en processos
- Emissions de substàncies danyoses a l'aigua, aire o sòl
</t>
  </si>
  <si>
    <t xml:space="preserve">- % de compliment de proveïdors de les normatives laborals
- Mitjana i màxim d'hores treballades per setmana
- Índexs de salut i seguretat laboral dels provedors
- % de provedors que recompensen hores extraordinàries
- % d'empleats en contractes formals 
- Proveïdors certificats socialment (% valor dels contractes) 
- Participació dels proveïdors en iniciatives de responsabilitat social 
- Nombre de proveïdors auditats per condicions laborals
</t>
  </si>
  <si>
    <t xml:space="preserve">- Compliment de les normatives laborals vigents
- Hores de mitjana i màximes de la jornada laboral
- Remuneració mitjana per posició, sexe i edat
- Remuneració mitjana comparada amb costos de vida
- % d'empleats coberts per convenis col·lectius
- Disponibilitat de treball híbrid o remot (depèn de la posició)
- Compensació de les hores extraordinàries
- Període de llicència per paternitat / maternitat
</t>
  </si>
  <si>
    <t>- % dels productes en venda que compleixen la legislació d'etiquetes
- Nombre de denúncies de pràctiques de publicitat, venda o etiquetatge enganyosos
- Nombre d' instàncies on l'empresa ha hagut d'adaptar la publicitat d'un producte per informació falsa</t>
  </si>
  <si>
    <t xml:space="preserve">- Composició de la junta directiva
- % de membres independents dins la junta directiva
- Existència de canals de denúncies i protecció de les parts interessades involucrades
- % de denúncies investigades
- Compliment de codis (ètic, conducta, etc.) i normatives
- % dels empleats (incloent-hi junta directiva) amb remuneració basada en acompliment de sostenibilitat
- Auditories i certificacions independents
</t>
  </si>
  <si>
    <t>- % de proveïdors principals (valor de contractes) avaluats en temes de sostenibilitat
- Petjada de carboni de la cadena de subministrament
- % d'energia renovable en la cadena de subministrament
- Reducció de residus i reciclatge dins de la cadena de subministrament (ecodisseny, embalatge, programes de retorn)
- Certificació ambiental i social de proveïdors
- Compliment dels drets laborals 
- Taxa d'accidentabilitat (per x empleats o per x hores treballades)
- Seguretat de l'entorn laboral</t>
  </si>
  <si>
    <t xml:space="preserve">Mesures de gestió generals
</t>
  </si>
  <si>
    <t>Fonts</t>
  </si>
  <si>
    <t>Comptar amb un codi de conducta que estableix normes per a tots els empleats. Aquest document s'haurà d'alinear amb les normatives vigents per al sector, incloent especialment temes ambientals (contaminació de l'aire, aigua i sòl, impactes en biodiversitat, emissions de GEH, etc.), drets humans, condicions laborals, seguretat, anticorrupció i suborn, promoció de la igualtat (de gènere) i la inclusió de tothom.</t>
  </si>
  <si>
    <t>L'empresa ha d'establir un sistema de gestió i control de qualitat per a tots els serveis i productes oferts a fi d'assegurar la qualitat del producte i la seguretat per als clients. És una bona pràctica certificar aquest sistema de gestió amb un ISO9001.</t>
  </si>
  <si>
    <r>
      <t xml:space="preserve">Consulteu informació sobre el </t>
    </r>
    <r>
      <rPr>
        <i/>
        <u/>
        <sz val="10"/>
        <color theme="10"/>
        <rFont val="Arial"/>
        <family val="2"/>
      </rPr>
      <t>GHG Protocol</t>
    </r>
  </si>
  <si>
    <t>L'empresa ha d'establir un sistema de gestió mediambiental que permeti identificar i avaluar els impactes potencials i reals, els riscos i les oportunitats relacionats amb la sostenibilitat de l' empresa. Els marcs per desenvolupar un sistema de gestió mediambiental són l'EMAS de la Unió Europea i la ISO14001.</t>
  </si>
  <si>
    <t xml:space="preserve">Vegeu informació sobre la ISO 14001
</t>
  </si>
  <si>
    <t xml:space="preserve">Protecció de dades - política de protecció de dades
</t>
  </si>
  <si>
    <t>Consulteu un exemple de codi de conducta/ètic de proveïdors</t>
  </si>
  <si>
    <r>
      <t xml:space="preserve">Consulteu informació sobre la </t>
    </r>
    <r>
      <rPr>
        <i/>
        <u/>
        <sz val="10"/>
        <color theme="10"/>
        <rFont val="Arial"/>
        <family val="2"/>
      </rPr>
      <t>Sustainable Packaging Coalition</t>
    </r>
    <r>
      <rPr>
        <u/>
        <sz val="10"/>
        <color theme="10"/>
        <rFont val="Arial"/>
        <family val="2"/>
      </rPr>
      <t xml:space="preserve">
</t>
    </r>
  </si>
  <si>
    <t xml:space="preserve">Consulta informació sobre l'Estratègia Catalana de Seguretat i Salut Laboral
</t>
  </si>
  <si>
    <t xml:space="preserve">Resiliència del model de negoci - Estratègia RIS3CAT 2030, per a l'especialització intel·ligent de Catalunya </t>
  </si>
  <si>
    <t xml:space="preserve">Consulta informació sobre Estratègia RIS3CAT 2030
</t>
  </si>
  <si>
    <t>Temes específics per a la indústria de la moda i el tèxtil</t>
  </si>
  <si>
    <t>Medi ambient - moda circular</t>
  </si>
  <si>
    <t>Catalunya històricament s’ha caracteritzat per disposar d’una potent indústria tèxtil. Actualment, destaca dins d’Europa pel seu gran potencial d’aprofitament dels residus tèxtils. El Pacte per a la moda circular a Catalunya impulsa la transformació del sector del tèxtil envers un model circular a partir d’una perspectiva integral i integradora de tots els actors de la seva cadena de valor. El Pacte per a la moda circular és un pacte voluntari entre institucions i empreses de les diferents baules de la cadena de valor tèxtil de Catalunya que facilitarà la incorporació de mesures de circularitat, l’impuls de projectes col·laboratius i la millora de la competitivitat del sector.</t>
  </si>
  <si>
    <t xml:space="preserve">Pacte per a la moda circular </t>
  </si>
  <si>
    <t>Per fomentar l'oferta de productes sostenibles dins la Unió Europea, hi ha l'Ecoetiqueta. Aquesta etiqueta assenyala als consumidors que el producte compleix uns criteris de sostenibilitat exigents de la Unió Europea. Aquests criteris inclouen temes com ara: compliment de normes laborals bàsiques, condicions laborals, sostenibilitat de materials, gestió sostenible de l'aigua, seguretat química i eficiència energètica.</t>
  </si>
  <si>
    <t xml:space="preserve">Consulteu els requisits de l'Ecoetiqueta UE - vestimenta i roba
</t>
  </si>
  <si>
    <r>
      <t xml:space="preserve">Consulteu el </t>
    </r>
    <r>
      <rPr>
        <i/>
        <u/>
        <sz val="10"/>
        <color theme="10"/>
        <rFont val="Arial"/>
        <family val="2"/>
      </rPr>
      <t>Global Recycling Standard</t>
    </r>
    <r>
      <rPr>
        <u/>
        <sz val="10"/>
        <color theme="10"/>
        <rFont val="Arial"/>
        <family val="2"/>
      </rPr>
      <t xml:space="preserve">
</t>
    </r>
  </si>
  <si>
    <t xml:space="preserve">Consulteu informació sobre tèxtils Fairtrade
</t>
  </si>
  <si>
    <r>
      <t xml:space="preserve">Consulteu l'estàndard de </t>
    </r>
    <r>
      <rPr>
        <i/>
        <u/>
        <sz val="10"/>
        <color theme="10"/>
        <rFont val="Arial"/>
        <family val="2"/>
      </rPr>
      <t>Global Organic Tèxtils</t>
    </r>
    <r>
      <rPr>
        <u/>
        <sz val="10"/>
        <color theme="10"/>
        <rFont val="Arial"/>
        <family val="2"/>
      </rPr>
      <t xml:space="preserve">
</t>
    </r>
  </si>
  <si>
    <t>OEKO-TEX és una etiqueta per a la indústria de tèxtils i cuir que indica l'absència de substàncies danyoses per a la salut de l'usuari del producte. OEKO-TEX té una varietat de tipus d'estàndards, tant per a tèxtils com per a cuir. Els estàndards OEKO-TEX inclouen controls per a substàncies perilloses regulades i no regulades. Aquest estàndard permet assenyalar als consumidors que el producte no conté substàncies perilloses i dona suport a reclams sobre la qualitat dels productes.</t>
  </si>
  <si>
    <t xml:space="preserve">Consulteu els requisits d'OEKO-TEX
</t>
  </si>
  <si>
    <t xml:space="preserve">Consulteu el document BREF sobre les millors tecnologies disponibles en la indústria tèxtil
</t>
  </si>
  <si>
    <t xml:space="preserve">Consulteu més informació sobre l'economia circular (Fundació Ellen McArthur)
</t>
  </si>
  <si>
    <r>
      <t xml:space="preserve">Consulteu informació sobre la </t>
    </r>
    <r>
      <rPr>
        <i/>
        <u/>
        <sz val="10"/>
        <color theme="10"/>
        <rFont val="Arial"/>
        <family val="2"/>
      </rPr>
      <t xml:space="preserve">Sustainable Packaging Coalition
</t>
    </r>
  </si>
  <si>
    <t xml:space="preserve">Consulta informació sobre el Conveni Col·lectiu de Treball del Sector del Comerç Tèxtil de la Província de Barcelona per als anys 2022-2024 
</t>
  </si>
  <si>
    <t>Aquesta indústria és una agrupació dels CNAE 16 i 17, la indústria de fusta i suro, i la de paper. Aquests sectors ofereixen productes on la gestió sostenible de les matèries primeres és clau. Així mateix, els processos de producció poden requerir molta energia i aigua, cosa que fa que una revisió holística del cicle de vida sigui indispensable.</t>
  </si>
  <si>
    <t>Biodiversitat i Ecosistemes</t>
  </si>
  <si>
    <t>Subministrament de matèries primeres / Productes venuts</t>
  </si>
  <si>
    <t>Gestió de Residus i Materials Perillosos</t>
  </si>
  <si>
    <t xml:space="preserve">- Petjada hídrica total
+ Cadena de subministrament
+ Operacions directes
+ Distribució
- Consum total d'aigua
- Consum d'aigua per volum de negocis (€) 
- Consum d'aigua per producte (nombre o pes) 
- Consum d'aigua en àrees d'estrès hídric
- Descàrrega total d'aigua 
- Descàrrega total d'aigua en àrees d'estrès hídric
- % de reutilització de l'aigua
</t>
  </si>
  <si>
    <t xml:space="preserve">- Àrea de conversió dels ecosistemes (per exemple: deforestació o conversió de bosc verge a silvicultura)
+ Generat per les operacions mateixes
+ Generat per la cadena de valor
- Abundància mitjana d'espècies 
- Canvis en l'abundància mitjana d'espècies
</t>
  </si>
  <si>
    <t xml:space="preserve">- Petjada de carboni de l'empresa (abast 1, 2 i 3), incloent:
+ emissions relacionades amb combustibles fòssils
+ emissions relacionades amb l'electricitat i el vapor adquirit 
+ emissions de gasos refrigerants
+ Altres emissions vinculades amb els materials usats, viatges per a negocis, etc. 
- Capacitat per generar energia renovable 
- Canvis d'emissions i capacitat de renovables
- Captura de carboni (potencialment pels boscos mateixos)
</t>
  </si>
  <si>
    <r>
      <t>- Consum energètic per unitat o pes produït
- Consum energètic per € de vendes 
- Reducció d'emissions de CO</t>
    </r>
    <r>
      <rPr>
        <vertAlign val="subscript"/>
        <sz val="10"/>
        <rFont val="Arial"/>
        <family val="2"/>
      </rPr>
      <t>2</t>
    </r>
    <r>
      <rPr>
        <sz val="10"/>
        <rFont val="Arial"/>
        <family val="2"/>
      </rPr>
      <t xml:space="preserve"> 
- Taxa de conversió d'energia (eficiència per procés)
- Hores d'operació dels equips
- Consum energètic per tipus de font
- Ràtio d'energia recuperada
- Percentatge de millora en eficiència energètica
</t>
    </r>
  </si>
  <si>
    <t xml:space="preserve">- Emissions SOx, NOx i Compostos Orgànics Volàtils (VOC)
- Qualitat de l'aire interior
- Emissions de NOx dels vehicles de transport a les ciutats
- Contribució a l'aire net (potencialment pels boscos)
</t>
  </si>
  <si>
    <r>
      <t>- Emissions de GEH en tot el cicle de vida del producte
- Necessitat de materials per a tot el cicle de vida del producte
- % de productes dissenyat segons principis d'ecodisseny
- Facilitat de reparació i manteniment del producte
- Modularitat del producte
- Compatibilitat del producte amb components d' altres marques o generals 
- Reciclabilitat del producte 
- % de productes amb programa de retorn (</t>
    </r>
    <r>
      <rPr>
        <i/>
        <sz val="10"/>
        <rFont val="Arial"/>
        <family val="2"/>
      </rPr>
      <t>take-back</t>
    </r>
    <r>
      <rPr>
        <sz val="10"/>
        <rFont val="Arial"/>
        <family val="2"/>
      </rPr>
      <t xml:space="preserve">)
</t>
    </r>
  </si>
  <si>
    <r>
      <t>- % de materials adquirit amb certificació de sostenibilitat (gestió sostenible de boscos)
- % dels principals proveïdors auditats en temes de sostenibilitat
- Emissions de CO</t>
    </r>
    <r>
      <rPr>
        <vertAlign val="subscript"/>
        <sz val="10"/>
        <rFont val="Arial"/>
        <family val="2"/>
      </rPr>
      <t>2</t>
    </r>
    <r>
      <rPr>
        <sz val="10"/>
        <rFont val="Arial"/>
        <family val="2"/>
      </rPr>
      <t xml:space="preserve"> per kg de material (abast 3) 
- Consum d' aigua per kg o litre de material
- Hectàrea de conversió de la terra (per exemple, deforestació) dins de la cadena de subministrament
</t>
    </r>
  </si>
  <si>
    <t xml:space="preserve">- Freqüència de sessions d'interacció amb els grups d'interès de l'empresa
- Inversions en les comunitats afectades per l'empresa (infraestructura, escoles, centres de salut, etc.) 
- Nombre d'empleats de comunitats locals (especialment en comunitats marginalitzades)
</t>
  </si>
  <si>
    <t>Consulta informació sobre EMAS</t>
  </si>
  <si>
    <t xml:space="preserve">Veure informació sobre ISO 14001.
</t>
  </si>
  <si>
    <t xml:space="preserve">Calcular la petjada de carboni i adoptar fonts d'energia renovable beneficia les empreses de diverses maneres. Avaluar la petjada de carboni demostra un compromís ambiental sòlid, enforteix la reputació i atrau clients sensibles a la sostenibilitat. La instal·lació de fonts d'energia renovable, com ara panells solars, no només redueix els costos a llarg termini, sinó que també disminueix la dependència  envers els combustibles fòssils, cosa que al seu torn ajuda a mitigar l'impacte ambiental.
A més d'aquests beneficis, complir objectius d'energia sostenible pot generar incentius fiscals i subvencions que milloren la rendibilitat de l'empresa. Aquestes accions no només aporten beneficis econòmics i mediambientals, sinó que també reforcen la responsabilitat social de l'empresa i la posicionen com a líder en pràctiques empresarials sostenibles.
</t>
  </si>
  <si>
    <t xml:space="preserve">Consulteu informació sobre el Protocol de GEH
</t>
  </si>
  <si>
    <t>L'empresa ha d'establir una política de protecció de dades, alineada amb la llei de protecció de dades de la UE. Tot el personal ha de rebre formació per gestionar dades del client de manera adequada i hi ha d'haver un protocol de contigència per a casos d'emergència. Adjunt a la columna de fonts trobareu un exemple d'una política de protecció de dades de l'Agència Catalana de Turisme.</t>
  </si>
  <si>
    <t xml:space="preserve">Temes específics per a la indústria de fusta i paper
</t>
  </si>
  <si>
    <t>Per fomentar l'oferta de productes sostenibles dins la Unió Europea, hi ha l'Ecoetiqueta. Aquesta etiqueta assenyala als consumidors que el producte compleix uns criteris de sostenibilitat exigents de la Unió Europea. Aquests criteris inclouen temes com ara: compliment de normes laborals bàsiques, condicions laborals, sostenibilitat de materials, gestió sostenible de l'aigua, seguretat química i eficiència energètica. D'altra banda, a Catalunya hi ha un sistema voluntari d'etiquetatge ecològic per identificar productes i serveis respectuosos envers el medi ambient que s'anomena Distintiu de garantia de qualitat ambiental. Els productes o serveis que són reconeguts per aquest Distintiu superen determinats requeriments de qualitat ambiental més enllà dels establerts com a obligatoris per la normativa vigent.</t>
  </si>
  <si>
    <t xml:space="preserve">Consulteu l'Ecoetiqueta UE - paper
</t>
  </si>
  <si>
    <t xml:space="preserve">Consulteu informació sobre el Distintiu de garantia de qualitat ambiental per al sector de la fusta i el paper
</t>
  </si>
  <si>
    <t>FSC / PEFC / SFI</t>
  </si>
  <si>
    <t xml:space="preserve">Consulteu informació sobre la FSC
</t>
  </si>
  <si>
    <t xml:space="preserve">Consulteu el lloc web de PEFC
</t>
  </si>
  <si>
    <t xml:space="preserve">Consulteu informació sobre la SFI
</t>
  </si>
  <si>
    <t>Paper</t>
  </si>
  <si>
    <t xml:space="preserve">Consulteu informació de l'EN 643
</t>
  </si>
  <si>
    <t>La Unió Europea està treballant en una regulació destinada a combatre la deforestació en les cadenes de subministrament de matèries primeres específiques. El paper és una de les matèries primeres seleccionades que haurà de complir aquesta nova regulació proposada. Això significa que els venedors de paper en el mercat europeu hauran de dur a terme una diligència deguda per assegurar-se que les matèries primeres utilitzades en la fabricació del paper no hagin contribuït a la deforestació després de 2019. Això implica rastrejar les matèries primeres al llarg de la cadena de subministrament per garantir que la fusta utilitzada en la producció no prové de zones desforestades a partir de 2019.</t>
  </si>
  <si>
    <t xml:space="preserve">Consulteu la regulació contra la deforestació - UE
</t>
  </si>
  <si>
    <t xml:space="preserve">Consulteu el document BREF sobre les millors tecnologies disponibles per a la producció de polpa, paper i taulers
</t>
  </si>
  <si>
    <t xml:space="preserve">Consulteu el document BREF sobre les millors tecnologies disponibles per a la producció de panells de fusta
</t>
  </si>
  <si>
    <t>Consulteu informació sobre el Distintiu de garantia de qualitat ambiental per a productes de cartró i cartronet reciclats</t>
  </si>
  <si>
    <t>Consulteu informació sobre el Distintiu de garantia de qualitat ambiental per a productes de fusta</t>
  </si>
  <si>
    <t>Diversos - Reglament EUTR (UE)</t>
  </si>
  <si>
    <t>Consulta informació sobre la informació el Reglament de Comercialització de fusta i productes derivats</t>
  </si>
  <si>
    <t xml:space="preserve">Aquesta indústria és una agrupació de les activitats CNAE 36 fins a 39. Totes aquestes activitats estan vinculades al tractament de residus i/o aigües. Aquests sectors tenen impactes ambientals inherents, els quals són importants de monitorar. Addicionalment, les empreses sovint treballen amb substàncies perilloses amb potencials riscos per a la salut, per la qual cosa la seguretat i salut són temes clau també.
</t>
  </si>
  <si>
    <t xml:space="preserve">- Petjada hídrica total
+ Cadena de subministrament
+ Operacions directes
+ Distribució
- Consum total d'aigua
- Consum d'aigua per volum de negocis (€) 
- Consum d'aigua per producte (nombre o pes) 
- Consum d'aigua en àrees amb estrès hídric
- Descàrrega total d'aigua 
- Descàrrega total d'aigua en àrees amb estrès hídric
- % de reutilització de l'aigua
- Volum total d'aigua rebut per a tractament
</t>
  </si>
  <si>
    <t xml:space="preserve">- Petjada de carboni de l'empresa (abast 1, 2 i 3), incloent:
+ emissions relacionades amb combustibles fòssils
+ emissions relacionades amb electricitat adquirida 
+ emissions de gasos refrigerants
+ Altres emissions vinculats amb els materials usats, viatges per a negocis, etc. 
- Capacitat per generar energia renovable 
- Energia generada amb operacions (biogàs, incineració)
- Energia venuda  
- Emissions biogèniques procedents de compostatge
</t>
  </si>
  <si>
    <t xml:space="preserve">- Residus totals rebuts 
+ Residus perillosos rebuts
+ Residus no perillosos rebuts
- Residus utilitzats com a matèria primera (per fer productes)
- Residus totals sortints 
+ Per a eliminació
+ Per a reutilització, recuperació, reciclatge
- Productes sortints (obtinguts de residus)
- % de residus destinats a eliminació
</t>
  </si>
  <si>
    <t xml:space="preserve">- Emissions de SOx, NOx i Compostos Orgànics Volàtils (VOC)
- Qualitat de l'aire interior
- Emissions de NOx dels vehicles de transport a les ciutats
</t>
  </si>
  <si>
    <t xml:space="preserve">- % del personal que treballa amb químics que tenen la formació adequada 
- Ús total (pes o volum) de químics identificats en els processos de producció
- Reducció en l'ús de químics identificats en els processos de producció
- % de recuperació dels químics utilitzats en processos
- Emissions de substàncies danyoses a l'aigua, l'aire o el sòl
</t>
  </si>
  <si>
    <r>
      <t>- Consum energètic per kg de residu tractat o litre d'aigua tractada
- Consum energètic per € de volum de negoci
- Reducció d'emissions de CO</t>
    </r>
    <r>
      <rPr>
        <vertAlign val="subscript"/>
        <sz val="10"/>
        <rFont val="Arial"/>
        <family val="2"/>
      </rPr>
      <t>2</t>
    </r>
    <r>
      <rPr>
        <sz val="10"/>
        <rFont val="Arial"/>
        <family val="2"/>
      </rPr>
      <t xml:space="preserve"> 
- Taxa de conversió d'energia (eficiència per procés)
- Hores d'operació dels equips
- Consum energètic per tipus de font
- Ràtio d'energia recuperada
- Percentatge de millora en eficiència energètica
</t>
    </r>
  </si>
  <si>
    <t xml:space="preserve">- Taxa de queixes sobre els productes
- Taxa d'enretirades dels productes 
- Taxa de no-conformitats amb requisits de qualitat i/o seguretat
- Taxa de contaminació per objectes estranys
- Seguretat microbiològica
- Gestió d'al·lèrgens 
- Vida útil del producte
</t>
  </si>
  <si>
    <t xml:space="preserve">- Freqüència de sessions d'interacció amb els grups d'interès de l'empresa
- Inversions en les comunitats afectades per part de l'empresa (infraestructura, escoles, centres de salut, etc.) 
- Nombre d'empleats de comunitats locals (especialment en comunitats marginalitzades)
</t>
  </si>
  <si>
    <t xml:space="preserve">- % de materials recuperats 
- Índex de qualitat de l'aigua abocada
- Capacitat de tractament
- % de reducció de residus destinats a l'eliminació
- % de reducció de residus destinats a abocament 
- Gestió adequada de residus perillosos
- Plans de contingència 
- Freqüència d'avaluació de vulnerabilitat i riscos 
- Resiliència al canvi climàtic
- Control d'olors i emissions
</t>
  </si>
  <si>
    <t xml:space="preserve">Medi Ambient - Eficiència energètica
</t>
  </si>
  <si>
    <t>L'empresa ha d'implementar un pla d'igualtat de gènere en compliment del Reial decret 901/2020. Aquest requisit implica que les empreses han d'adoptar, amb negociació prèvia, mesures destinades a prevenir qualsevol forma de discriminació laboral entre dones i homes i a fomentar condicions de treball que evitin l'assetjament sexual i l'assetjament per raó de gènere. A més, han d'establir procediments específics per a la prevenció d'aquests comportaments i per gestionar les denúncies o reclamacions presentades per qui n'hagi estat víctima.</t>
  </si>
  <si>
    <t xml:space="preserve">Temes específics per a la indústria de gestió de residus i tractament d'aigua
</t>
  </si>
  <si>
    <t>Diversos - UE taxonomia</t>
  </si>
  <si>
    <t xml:space="preserve">Consulteu la taxonomia UE
</t>
  </si>
  <si>
    <t>Consulteu els criteris tècnics de selecció per considerar quan una activitat econòmica contribueix a la mitigació o a l'adaptació al canvi climàtic</t>
  </si>
  <si>
    <t>Consulteu l'EC 2150/2002</t>
  </si>
  <si>
    <t>Diversos - Llei 7/2022</t>
  </si>
  <si>
    <t xml:space="preserve">Consulteu la Llei 7/2022
</t>
  </si>
  <si>
    <t xml:space="preserve">Consulteu el Pla d'acció per a l'economia circular (UE)
</t>
  </si>
  <si>
    <t>L'adopció de les millors tecnologies, seguint les directrius dels documents BREF de la Unió Europea, és de gran benefici per a la sostenibilitat dels gestors de residus. Aquestes tecnologies avançades optimitzen l'eficiència de la gestió de residus, la qual cosa comporta una reducció dels impactes ambientals i el compliment de les normatives. Això al seu torn promou la seguretat de la salut pública i de l'entorn. A més, aquestes pràctiques avançades fomenten l'economia circular en reciclar i reutilitzar de manera més eficient. La implementació d'aquestes tecnologies pot generar estalvis a llarg termini en optimitzar processos i reduir costos. En conjunt, l'adopció de les millors tecnologies segons els documents BREF reforça l'acompliment sostenible dels gestors de residus i millora tant la protecció del medi ambient com la salut econòmica.</t>
  </si>
  <si>
    <t xml:space="preserve">Consulteu el document sobre les millors tecnologies disponibles per a la incineració de residus
</t>
  </si>
  <si>
    <t xml:space="preserve">Consulteu el document sobre les millors tecnologies disponibles per al tractament de residus
</t>
  </si>
  <si>
    <r>
      <t xml:space="preserve">Consulteu la informació sobre la iniciativa </t>
    </r>
    <r>
      <rPr>
        <i/>
        <u/>
        <sz val="10"/>
        <color theme="10"/>
        <rFont val="Arial"/>
        <family val="2"/>
      </rPr>
      <t>Lean and Green</t>
    </r>
    <r>
      <rPr>
        <u/>
        <sz val="10"/>
        <color theme="10"/>
        <rFont val="Arial"/>
        <family val="2"/>
      </rPr>
      <t xml:space="preserve">
</t>
    </r>
  </si>
  <si>
    <t xml:space="preserve">Consulta informació sobre el Programa de gestió de residus municipals
</t>
  </si>
  <si>
    <t xml:space="preserve">Aquest grup d'activitats és la combinació de CNAE 41 i 43, relacionades amb la construcció d'edificis i la construcció especialitzada, respectivament.
</t>
  </si>
  <si>
    <t xml:space="preserve">- Instal·lacions sanitàries de baix cabal
- Captació i utilització d'aigua pluvial
- Taxa de recuperació d'aigües grises
- Certificació d'eficiència energètica 
- Capacitat renovable autosuficient 
- Disseny bioclimàtic i ventilació natural
- Taxa de separació i reciclatge dels residus
- Ús de materials reciclats, reciclables i biomaterials
- Ús de materials amb certificats de sostenibilitat
- Ús de sensors i sistemes d'automatització
</t>
  </si>
  <si>
    <t xml:space="preserve">- Conversió d'ecosistemes 
- Pròximitat a ecosistemes d'alt valor de biodiversitat
- Pròximitat a zones naturals protegides
- Súperfície afectada
- Presència d'espècies vulnerables
</t>
  </si>
  <si>
    <t xml:space="preserve">- Petjada de carboni de l'empresa (abast 1, 2 i 3), incloent:
+ emissions relacionades amb combustibles fòssils
+ emissions relacionades amb electricitat adquirida 
+ emissions de gasos refrigerants
+ Altres emissions vinculades amb els materials usats, viatges per a negocis, etc. 
- Instal·lació de capacitat renovable en la nova construcció
</t>
  </si>
  <si>
    <r>
      <t>- Certificació d'eficiència energètica
- Consum d'energia primària (per m</t>
    </r>
    <r>
      <rPr>
        <vertAlign val="subscript"/>
        <sz val="10"/>
        <rFont val="Arial"/>
        <family val="2"/>
      </rPr>
      <t>2</t>
    </r>
    <r>
      <rPr>
        <sz val="10"/>
        <rFont val="Arial"/>
        <family val="2"/>
      </rPr>
      <t xml:space="preserve">) 
- Aïllament tèrmic
- Eficiència del sistema de climatització
- Ús d'energia renovable (i % del total)
- Ús de sensors i sistemes d'automatització
</t>
    </r>
  </si>
  <si>
    <t xml:space="preserve">- Cabals de les aixetes i les instal·lacions sanitàries
- Captació d'aigües pluvials
- Taxa de reutilització de les aigües grises
- Eficiència de sistemes de reg
- Petjada hídrica de materials de construcció
- Incorporació de tecnologies de reciclatge d'aigua
</t>
  </si>
  <si>
    <t xml:space="preserve">- Percentatge de materials reciclats o d'origen renovable utilitzats en la construcció
- Percentatge de components reciclables o reutilitzables en el producte
- Disseny del producte que faciliti el seu reciclatge o reutilització al final de la seva vida útil
- Avaluació de l'impacte ambiental dels materials emprats al llarg del seu cicle de vida (anàlisi del cicle de vida)
- Avaluació de l'impacte ambiental en la biodiversitat durant el cicle de vida dels materials i/o el projecte sencer
</t>
  </si>
  <si>
    <t xml:space="preserve">- Avaluació dels riscos climàtics potencials relacionats amb el projecte
- Percentatge de projectes que incorporen mesures d'adaptació al canvi climàtic en el seu disseny i construcció
- Percentatge de projectes que integren infraestructures resistents a esdeveniments climàtics
- Percentatge del pressupost dedicat a la inversió en infraestructures i projectes que millorin la resiliència davant el canvi climàtic
</t>
  </si>
  <si>
    <r>
      <t>- Percentatge de materials de fonts locals
- Distància mitjana recorreguda pels materials 
- Tones de CO</t>
    </r>
    <r>
      <rPr>
        <vertAlign val="subscript"/>
        <sz val="10"/>
        <rFont val="Arial"/>
        <family val="2"/>
      </rPr>
      <t>2</t>
    </r>
    <r>
      <rPr>
        <sz val="10"/>
        <rFont val="Arial"/>
        <family val="2"/>
      </rPr>
      <t xml:space="preserve"> emeses per unitat de material produït
- Percentatge de materials reciclats o reutilitzats 
- Percentatge de materials que compleixen estàndards de sostenibilitat (LEED, BREEAM, FSC, etc.)
- Percentatge de materials amb certificacions de baix impacte ambiental
- Puntuació de proveïdors segons criteris de sostenibilitat en la seva cadena de subministrament
</t>
    </r>
  </si>
  <si>
    <t xml:space="preserve">- Nombre d'accidents laborals per cada nombre determinat d'hores treballades
- Taxa de dies perduts per accidents o malalties
- Percentatge d'empleats capacitats en temes de salut i seguretat
- Freqüència i resultats d'inspeccions de seguretat
- Percentatge d'empleats que utilitzen EPI de manera adequada
- Mesures implementades per prevenir caigudes des d'alçades
- Accés a atenció mèdica
- Mesures de manipulació segura de substàncies perilloses
</t>
  </si>
  <si>
    <t xml:space="preserve">- Percentatge de defectes trobats en la construcció que requereixen retreball o correccions
- Avaluació del grau en què la construcció compleix les especificacions i plànols establerts
- Existència i compliment de proves i certificacions de qualitat per als materials i components utilitzats
- Enquestes de satisfacció del client i seguiment de la qualitat del producte després del lliurament
- Existència i compliment de garanties ofertes al client per solucionar problemes postlliurament
- Avaluació del rendiment i durabilitat dels materials utilitzats en la construcció
</t>
  </si>
  <si>
    <t xml:space="preserve">- % de volum de negocis relacionat amb projectes amb certificat de sostenibilitat (LEED, BREEAM, etc.)
- Fites relacionades amb la venda de serveis sostenibles
- Tenir una estratègia per assegurar la sostenibilitat del negoci
</t>
  </si>
  <si>
    <t xml:space="preserve">- Temps transcorregut des de la detecció d'un incident crític fins a la implementació de les accions de resposta i mitigació
- Percentatge d'empleats capacitats i entrenats en els protocols de seguretat i procediments d'emergència
- Avaluació del grau de compliment dels protocols d'evacuació i rescat en cas d'incidents crítics
- Avaluació de l'efectivitat de la comunicació durant incidents crítics amb empleats, contractistes, clients i altres parts interessades
- Avaluació del maneig de riscos en les activitats i els processos de proveïdors i subcontractistes
- Avaluació del grau de compliment dels estàndards de seguretat específics de la indústria de la construcció
</t>
  </si>
  <si>
    <t xml:space="preserve">Temes específics per a la indústria de la construcció
</t>
  </si>
  <si>
    <t>Taxonomia UE</t>
  </si>
  <si>
    <t xml:space="preserve">Noves construccions
</t>
  </si>
  <si>
    <t>La taxonomia defineix quines activitats econòmiques es consideren sostenibles dins la Unió Europea. Complir els seus criteris, que abasten l'eficiència energètica, l'ús d'energies renovables, l'adaptació al canvi climàtic, la gestió sostenible dels recursos hídrics, la promoció de la circularitat i la protecció dels ecosistemes i la biodiversitat, brinda a les empreses un millor accés al finançament de fons europeus i altres inversors.</t>
  </si>
  <si>
    <t>Certificacions BREEAM, LEED i GBCE</t>
  </si>
  <si>
    <t xml:space="preserve">Consulteu els requisits del marc BREEAM
</t>
  </si>
  <si>
    <t xml:space="preserve">Consulteu els requisits del marc LEED
</t>
  </si>
  <si>
    <t xml:space="preserve">Consulteu informació sobre GBCE.ES
</t>
  </si>
  <si>
    <r>
      <t>Consulteu l'estàndard</t>
    </r>
    <r>
      <rPr>
        <i/>
        <u/>
        <sz val="10"/>
        <color theme="10"/>
        <rFont val="Arial"/>
        <family val="2"/>
      </rPr>
      <t xml:space="preserve"> Cradle to Cradle
</t>
    </r>
  </si>
  <si>
    <t xml:space="preserve">Consulteu informació sobre l'economia circular (Fundació Ellen McArthur)
</t>
  </si>
  <si>
    <t>Per al sector de l'edificació, és de vital importància explorar tecnologies que permetin generar energia de manera renovable per satisfer les necessitats dels edificis. Així mateix, s'ha intensificat l'interès en tecnologies de climatització de baixes emissions, com el disseny de sistemes de ventilació natural o la climatització mitjançant l'ús d'aigua subterrània. La implementació d'aquestes mesures pot tenir un impacte significatiu en la reducció de la petjada de carboni dels edificis.</t>
  </si>
  <si>
    <t xml:space="preserve">Consulteu informació sobre renovables en edificació
</t>
  </si>
  <si>
    <t>Consulteu informació sobre el Distintiu de garantia de qualitat ambiental per a productes de formigó amb material reciclat</t>
  </si>
  <si>
    <t>Consulteu informació sobre el Distintiu de garantia de qualitat ambiental per a matèries primeres i productes d'àrid reciclat</t>
  </si>
  <si>
    <t>Consulta informació sobre el Codi de bones pràctiques  en la promoció i execució d’obres de construcció</t>
  </si>
  <si>
    <t xml:space="preserve">Consulta informació sobre l'Homologació de Productes en el Sector de la Construcció
</t>
  </si>
  <si>
    <t xml:space="preserve">Consulta informació sobre el Conveni Col·lectiu del sector de la construcció i obres públiques i materials de la construcció
</t>
  </si>
  <si>
    <t xml:space="preserve">Consulta informació sobre l'Estratègia Catalana per a la Renovació Energètica d'Edificis
</t>
  </si>
  <si>
    <t>Bon govern - Competència responsable</t>
  </si>
  <si>
    <t xml:space="preserve">Consulta informació sobre les Infraestructures de la Generalitat de Catalunya, SAU
</t>
  </si>
  <si>
    <t>Bon govern - Control de qualitat de l'edificació</t>
  </si>
  <si>
    <t>Informació proporcionada per la Generalitat de Catalunya sobre els instruments de control de la qualitat de l'edificació</t>
  </si>
  <si>
    <t xml:space="preserve">Consulta informació sobre el Control de qualitat de l'edificació
</t>
  </si>
  <si>
    <t xml:space="preserve">Aquest sector representa el CNAE 71, específicament dedicat als serveis tècnics d'arquitectura i enginyeria.
</t>
  </si>
  <si>
    <t>- Instal·lacions sanitàries de baix cabal
- Captació i utilització d'aigua pluvial
- Taxa de recuperació d'aigües grises
- Certificació d'eficiència energètica 
- Capacitat renovable autosuficient 
- Disseny bioclimàtic i ventilació natural
- Taxa de separació i reciclatge dels residus
- Ús de materials reciclats, reciclables i biomaterials
- Ús de materials amb certificats de sostenibilitat
- Ús de sensors i sistemes d'automatització</t>
  </si>
  <si>
    <t>- Conversió d'ecosistemes 
- Pròximitat a ecosistemes d'alt valor de biodiversitat
- Pròximitat a zones naturals protegides
- Súperfície afectada
- Presència d'espècies vulnerables</t>
  </si>
  <si>
    <r>
      <t>- Certificació d'eficiència energètica
- Consum d'energia primària (per m</t>
    </r>
    <r>
      <rPr>
        <vertAlign val="superscript"/>
        <sz val="10"/>
        <rFont val="Arial"/>
        <family val="2"/>
      </rPr>
      <t>2</t>
    </r>
    <r>
      <rPr>
        <sz val="10"/>
        <rFont val="Arial"/>
        <family val="2"/>
      </rPr>
      <t xml:space="preserve">) 
- Aïllament tèrmic
- Eficiència del sistema de climatització
- Ús d'energia renovable (i % del total)
- Ús de sensors i sistemes d'automatització
</t>
    </r>
  </si>
  <si>
    <t xml:space="preserve">- Avaluació dels materials utilitzats en la construcció per assegurar-se que no continguin substàncies químiques perilloses o tòxiques
- Avaluació del compliment de les regulacions i estàndards de seguretat química en la construcció
- Avaluació de la qualitat i eficiència del sistema de ventilació per minimitzar l'exposició a vapors o gasos tòxics
- Quantitat de materials químics perillosos utilitzats per superfície 
- Quantitat de materials químics perillosos utilitzats per superfície amb què podrien tenir contacte els habitants
</t>
  </si>
  <si>
    <t xml:space="preserve">- Percentatge dels habitatges destinats a l'habitatge social
- Nombre d'entrades amb rampes
- Disponibilitat d'ascensors
- Ample de portes i passadissos
- Nombre i disponibilitat d'estacionament per a persones amb discapacitat
- Senyalització amb lletra grossa, contrast de color i llenguatge braille per a persones amb discapacitat visual
- Ús de superfícies antilliscants en passadissos i àrees propenses a relliscades o caigudes
- Disponibilitat de comoditats específiques per a persones amb discapacitats visuals o auditives
- Disponibilitat d'espais de maniobra suficients per a persones en cadires de rodes
</t>
  </si>
  <si>
    <t xml:space="preserve">- Robustesa de la infraestructura de xarxa i protecció contra accessos no autoritzats
- Percentatge dels empleats que han rebut una formació de ciberseguretat
- Freqüència d'actualitzacions 
- Tenir una política de ciberseguretat
- Avaluació de les mesures per protegir d'atacs
- Freqüència de proves de penetració 
- Protecció de dades sensibles i infraestructura IoT
</t>
  </si>
  <si>
    <t>- Percentatge d'empleats que han rebut una formació en protecció de dades 
- Encriptació de dades sensibles
- Polítiques de protecció de dades
- Compliment del Reglament general de protecció de dades 
- Procés per obtenir i gestionar el consentiment explícit dels clients per al processament de les seves dades personals
- Tenir registre d'activitats de processament 
- Tenir sistemes de notificació i gestió de bretxes de seguretat
- Freqüència d'auditories internes de protecció de dades</t>
  </si>
  <si>
    <t xml:space="preserve">- Taxa de retenció dels empleats
- Índex de satisfacció laboral
- Freqüència de retroalimentació d'empleats
- Grau de sentiment de pertinença i orgull de l'empresa
- Representació de gènere, edat i raça en diferents nivells de l'empresa
- Percentatge de promocions internes 
- Percentatge d'empleats que han rebut formació en diversitat i inclusió
- Diversitat en projectes i equips
- Enquestes de percepció d'inclusió
</t>
  </si>
  <si>
    <t xml:space="preserve">Medi Ambient - residus
</t>
  </si>
  <si>
    <t xml:space="preserve">Consulta informació sobre la Política de Ciberseguretat de Catalunya
</t>
  </si>
  <si>
    <t>Social- Model de govern de les dades</t>
  </si>
  <si>
    <t xml:space="preserve">Consulta informació sobre el model de govern de les dades
</t>
  </si>
  <si>
    <t>Social - Programa FSE+</t>
  </si>
  <si>
    <t xml:space="preserve">Consulta informació sobre el Programa FSE+
</t>
  </si>
  <si>
    <t>Social- Reglament de Protecció de dades</t>
  </si>
  <si>
    <t xml:space="preserve">Consulta informació sobre el Reglament de Protecció de dades
</t>
  </si>
  <si>
    <t>Bon govern - Digitalització i teletreball per a PIMES i autònoms</t>
  </si>
  <si>
    <t xml:space="preserve">Consulta informació sobre Digitalització i teletreball per a PIMES i autònoms
</t>
  </si>
  <si>
    <t xml:space="preserve">Temes específics per a la indústria d'arquitectura i enginyeria
</t>
  </si>
  <si>
    <t>Consulta els criteris tècnics de selecció per la consideració de quan una activitat econòmica contribueix a la mitigació o a l'adaptació al canvi climàtic</t>
  </si>
  <si>
    <r>
      <t xml:space="preserve">Consulteu l'estàndard </t>
    </r>
    <r>
      <rPr>
        <i/>
        <u/>
        <sz val="10"/>
        <color theme="10"/>
        <rFont val="Arial"/>
        <family val="2"/>
      </rPr>
      <t>Cradle to Cradle</t>
    </r>
    <r>
      <rPr>
        <u/>
        <sz val="10"/>
        <color theme="10"/>
        <rFont val="Arial"/>
        <family val="2"/>
      </rPr>
      <t xml:space="preserve">
</t>
    </r>
  </si>
  <si>
    <t xml:space="preserve">Consulteu més informació sobre el capital humà
</t>
  </si>
  <si>
    <t>El Distintiu de garantia de qualitat ambiental és una etiqueta oficial que atorga la Generalitat de Catalunya a productes i serveis que superen determinats requisits de qualitat ambiental més enllà dels establerts com a obligatoris per la normativa vigent. Està dissenyat per ajudar els consumidors a identificar productes i serveis que han estat produïts de manera responsable i sostenible. En el cas del sector de l'arquitectura i l'enginyeria, un dels temes importants a treballar en relació amb la sostenibilitat és l'estalvi d'aigua.</t>
  </si>
  <si>
    <t>Consulteu informació sobre el Distintiu de garantia de qualitat ambiental específic per a productes i sistemes que afavoreixen l'estalvi d'aigua</t>
  </si>
  <si>
    <t>Consulteu informació sobre el Distintiu de garantia de qualitat ambiental específic per a productes aïllants acústics i tèrmics amb material reciclat</t>
  </si>
  <si>
    <t>Consulteu informació sobre el Distintiu de garantia de qualitat ambiental específic per a productes i transformats de suro</t>
  </si>
  <si>
    <t>Consulteu informació sobre el Distintiu de garantia de qualitat ambiental específic per a primeres matèries i productes de plàstic reciclat</t>
  </si>
  <si>
    <t>Diversos - Llei de l'Arquitectura</t>
  </si>
  <si>
    <t xml:space="preserve">Consulta informació sobre la Llei 12/2017, del 6 de juliol, de l'arquitectura
</t>
  </si>
  <si>
    <t xml:space="preserve">- Consum d'energia per hora treballada
- Consum d'energia per client 
- Consum mitjà dels vehicles venuts
- Percentatge d'il·luminació amb tecnologia de baix consum.
- Eficiència del sistema de climatització (HVAC)
- Ús de sensors i sistemes d' automatització
</t>
  </si>
  <si>
    <t xml:space="preserve">- Petjada de carboni de l'empresa (abast 1, 2 i 3), incloent:
+ emissions relacionades amb combustibles fòssils
+ emissions relacionades amb electricitat adquirida 
+ emissions de gasos refrigerants (equips frigorífics, aire condicionat)
+ Emissions dels vehicles venuts durant la seva vida útil
- Percentatge dels vehicles venuts elèctrics o híbrids
</t>
  </si>
  <si>
    <r>
      <t>- Quantitat de vehicles venuts elèctrics o híbrids
- Percentatge d'ingressos procedents de vehicles elèctrics o híbrids
- Percentatge dels empleats amb formació per mantenir vehicles elèctrics o híbrids
- Eficiència dels vehicles venuts (l/km) 
- Emissions de CO</t>
    </r>
    <r>
      <rPr>
        <vertAlign val="subscript"/>
        <sz val="10"/>
        <rFont val="Arial"/>
        <family val="2"/>
      </rPr>
      <t>2</t>
    </r>
    <r>
      <rPr>
        <sz val="10"/>
        <rFont val="Arial"/>
        <family val="2"/>
      </rPr>
      <t>, NO</t>
    </r>
    <r>
      <rPr>
        <vertAlign val="subscript"/>
        <sz val="10"/>
        <rFont val="Arial"/>
        <family val="2"/>
      </rPr>
      <t>2</t>
    </r>
    <r>
      <rPr>
        <sz val="10"/>
        <rFont val="Arial"/>
        <family val="2"/>
      </rPr>
      <t xml:space="preserve"> i SOx per km
</t>
    </r>
  </si>
  <si>
    <t>- Programa de reciclatge d'olis i fluids
- Taxa de reciclatge dels residus
- Quantitat total de residus generats
+ dels quals perillosos
+ dels quals no perillosos
- Percentatge dels empleats amb formació per tractar amb materials perillosos</t>
  </si>
  <si>
    <r>
      <t>- Nombre i freqüència d'accidents i lesions laborals
- Mesures de seguretat i salut en el treball
- Nombre total de dies de treball perduts a causa de lesions o accidents laborals
- Gravetat de lesions laborals (nombre de dies de baixa)
- Freqüència de l'avaluació de riscos laborals
- Ús d'equips de protecció personal
- Quantitat i naturalesa d'incidents propers (</t>
    </r>
    <r>
      <rPr>
        <i/>
        <sz val="10"/>
        <rFont val="Arial"/>
        <family val="2"/>
      </rPr>
      <t>near misses</t>
    </r>
    <r>
      <rPr>
        <sz val="10"/>
        <rFont val="Arial"/>
        <family val="2"/>
      </rPr>
      <t xml:space="preserve">)
- Efectivitat dels programes de prevenció d'accidents
- Compliment de la normativa de seguretat vigent
</t>
    </r>
  </si>
  <si>
    <t xml:space="preserve">- Compliment de les normatives laborals vigents
- Hores de mitjana i màximes de la jornada laboral
- Remuneració mitjana per posició, sexe i edat
- Remuneració mitjana comparada amb costos de vida
- % d'empleats coberts per convenis col·lectius
- Compensació de les hores extraordinàries
- Període de llicència per paternitat/maternitat
</t>
  </si>
  <si>
    <r>
      <t>- % de proveïdors principals (valor de contractes) avaluats en temes de sostenibilitat. 
- Petjada de carboni de la cadena de subministrament
- % d'energia renovable en la cadena de subministrament
- Reducció de residus i reciclatge dins de la cadena de subministrament (ecodisseny, embalatge, programes de retorn (</t>
    </r>
    <r>
      <rPr>
        <i/>
        <sz val="10"/>
        <rFont val="Arial"/>
        <family val="2"/>
      </rPr>
      <t>take-back</t>
    </r>
    <r>
      <rPr>
        <sz val="10"/>
        <rFont val="Arial"/>
        <family val="2"/>
      </rPr>
      <t>))
- Certificació ambiental i social de proveïdors
- Compliment dels drets laborals 
- Taxa d'accidentabilitat (per x empleats o per x hores treballades)
- Seguretat de l'entorn laboral</t>
    </r>
  </si>
  <si>
    <t xml:space="preserve">- Percentatge dels principals proveïdors que han signat el codi de conducta de proveïdors
- Compliment del codi ètic de l' empresa
- Transparència de la comunicació
- Puntatge de sostenibilitat en avaluacions ESG (SASB, MSCI, Ecovadis)
</t>
  </si>
  <si>
    <t>Medi ambient - circularitat</t>
  </si>
  <si>
    <r>
      <t xml:space="preserve">Consulteu el lloc web de </t>
    </r>
    <r>
      <rPr>
        <i/>
        <u/>
        <sz val="10"/>
        <color theme="10"/>
        <rFont val="Arial"/>
        <family val="2"/>
      </rPr>
      <t xml:space="preserve">Cradle to Cradle
</t>
    </r>
  </si>
  <si>
    <t xml:space="preserve">Temes específics per a la venda i reparació de vehicles
</t>
  </si>
  <si>
    <t>Atès el fort vincle amb l'ús d'energia i l'estreta relació amb els combustibles fòssils, les emissions de carboni i l'ús d'energia renovable són especialment rellevants per a les empreses de venda i reparació de vehicles. En aquest context, és essencial considerar tant les emissions de carboni relacionades amb les operacions mateixes com les associades als productes venuts.
Pel que fa a les activitats internes de l'empresa, hi ha mesures potencials per limitar les emissions de carboni. Aquestes mesures inclouen l'ús d'eines elèctriques altament eficients des del punt de vista energètic i sistemes de climatització eficients que utilitzin refrigerants de baix impacte ambiental. Aquestes mesures poden contribuir significativament a la reducció de les emissions de carboni en el sector.</t>
  </si>
  <si>
    <t xml:space="preserve">Consulteu més informació sobre energies renovables
</t>
  </si>
  <si>
    <t xml:space="preserve">Consulteu més informació sobre el Potencial d'Escalfament Global
</t>
  </si>
  <si>
    <t xml:space="preserve">Consulteu més informació sobre Moves III - Catalunya
</t>
  </si>
  <si>
    <t>Les empreses que es dediquen a la venda de vehicles tenen una oportunitat única per adoptar tecnologies sostenibles i contribuir al canvi envers un futur més net i responsable. En oferir opcions com ara vehicles elèctrics, híbrids o amb baixes emissions, aquestes empreses no només compleixen les regulacions ambientals, sinó que també satisfan la demanda creixent de consumidors preocupats pel medi ambient. Això enforteix la seva posició en un mercat cada vegada més enfocat a la sostenibilitat, i pot dur a estalvis operatius, a més de construir una imatge de marca més positiva i compromesa amb pràctiques responsables.</t>
  </si>
  <si>
    <t xml:space="preserve">Consulteu informació sobre les tendències del mercat envers vehicles elèctrics
</t>
  </si>
  <si>
    <t>El subministrament de matèries primeres i productes té un impacte directe sobre l'acompliment de sostenibilitat de les empreses. Una gestió eficient d'aquest subministrament assegura la disponibilitat de components respectuosos envers el medi ambient, la qual cosa influeix en la petjada de carboni i en la reducció d'impactes ambientals. Gestionar el subministrament de manera sostenible beneficia les empreses en enfortir el seu compromís ambiental i atrau clients que valoren pràctiques responsables. La selecció de proveïdors que comparteixin aquests valors contribueix a la cadena de subministrament sostenible en la indústria automotriu. Per als clients, això implica accedir a vehicles que compleixen estàndards ambientals i socials, promoure una elecció conscient i donar suport a la transició envers un futur més net.</t>
  </si>
  <si>
    <t xml:space="preserve">Consulteu informació sobre la sostenibilitat de la cadena de valor de vehicles
</t>
  </si>
  <si>
    <t xml:space="preserve">Consulteu el conveni col·lectiu del sector del comerç per a subsectors sense conveni propi
</t>
  </si>
  <si>
    <t>La disposició correcta de residus sòlids, com ara peces danyades, olis usats i productes químics, evita la contaminació del sòl i l'aigua. El reciclatge de materials contribueix a la conservació de recursos naturals i redueix la necessitat d'extracció i producció. A més, una gestió eficient de residus minimitza l'emissió de gasos amb efecte d'hivernacle relacionats amb la degradació i crema inapropiada de deixalles.
Aquestes pràctiques no només compleixen regulacions ambientals, sinó que també milloren la reputació de l'empresa en mostrar el seu compromís amb la sostenibilitat. La gestió adequada de residus contribueix significativament a la reducció de la petjada ecològica i a la preservació d'un entorn saludable per a les generacions futures.</t>
  </si>
  <si>
    <t xml:space="preserve">Consulteu informació sobre la gestió de residus
</t>
  </si>
  <si>
    <t>En el context del comerç, assegurar la protecció de dades esdevé crucial per a l'èxit de les petites botigues i els negocis de comerç electrònic. A més de complir regulacions, aquesta pràctica genera confiança entre els clients, un aspecte essencial en vendes en línia i en persona. La seguretat de les dades evita possibles vulnerabilitats que podrien perjudicar la reputació i ocasionar despeses legals i financeres. A més, salvaguarda la privacitat de la informació personal i fomenta la fidelitat dels clients. En demostrar un sòlid compromís amb la seguretat de les dades, aquests negocis poden atreure consumidors preocupats per la privacitat i destacar en un mercat minorista cada vegada més competitiu. Això es tradueix en relacions comercials duradores, clients més compromesos i una imatge de marca positiva tant en botigues físiques com en plataformes en línia.</t>
  </si>
  <si>
    <t>Consulteu el RGPD</t>
  </si>
  <si>
    <t>L'empresa ha d'establir un document de conducta per als proveïdors i altres actors en la cadena de valor del negoci. Aquest document ha de ser signat pels proveïdors i exigir-ne el compliment amb els estàndards de bon govern establerts en el document. Es recomana alinear aquest document amb el codi de conducta intern, encara que en certs casos es podria permetre més flexibilitat, sempre que continuï complint les normatives vigents relacionades amb la cadena de valor (no desforestació, drets humans, emissions de carboni, etc.). A la columna 'Fonts' adjunta, trobareu un exemple d'un codi de conducta/ètic per a proveïdors del Pacte Mundial de Nacions Unides.</t>
  </si>
  <si>
    <t xml:space="preserve">Consulteu un exemple de codi de conducta/ètic de proveïdors
</t>
  </si>
  <si>
    <t>Consulteu informació sobre el Distintiu de garantia de qualitat ambiental específic per a vehicles</t>
  </si>
  <si>
    <t xml:space="preserve">Consulta informació sobre Seguretat de l'automòbil
</t>
  </si>
  <si>
    <t>La Generalitat de Catalunya ofereix orientació sobre les vies d'accés a la competència professional en el sector de la venda i reparació de vehicles</t>
  </si>
  <si>
    <t xml:space="preserve">Consulta informació sobre Vies d’accés a la competència professional
</t>
  </si>
  <si>
    <t xml:space="preserve">Aquest sector representa el codi CNAE 46 i les seves subindústries, incloent-hi totes les empreses de comerç a l'engròs, tret de la venda i reparació de vehicles.
</t>
  </si>
  <si>
    <t xml:space="preserve">- Pròximitat mitjana dels proveïdors
- Materials d'embalatge (tipus i quantitat)
- Reciclabilitat dels materials
- Certificacions de sostenibilitat específics pel tipus de producte
- Petjada de carboni 
- Empremta hídrica
- Impacte en la biodiversitat (espècies de peix etc.)
</t>
  </si>
  <si>
    <t xml:space="preserve">- Petjada de carboni de l'empresa (abast 1, 2 i 3), incloent:
+ emissions relacionades amb combustibles fòssils
+ emissions relacionades amb electricitat adquirida 
+ emissions de gasos refrigerants (equips frigorífics, aire condicionat)
- Instal·lacions de capacitat renovable a l'establiment
</t>
  </si>
  <si>
    <r>
      <t>- Certificació d'eficiència energètica
- Consum d'energia per m</t>
    </r>
    <r>
      <rPr>
        <vertAlign val="superscript"/>
        <sz val="10"/>
        <rFont val="Arial"/>
        <family val="2"/>
      </rPr>
      <t>2</t>
    </r>
    <r>
      <rPr>
        <sz val="10"/>
        <rFont val="Arial"/>
        <family val="2"/>
      </rPr>
      <t xml:space="preserve">
- Consum d'energia per vendes (€) 
- Percentatge d'il·luminació amb tecnologia de baix consum
- Eficiència del sistema de climatització (HVAC)
- Ús d'energia renovable (i % del total)
- Ús de sensors i sistemes d'automatització
- Eficiència energètica dels equips frígorífics</t>
    </r>
  </si>
  <si>
    <t xml:space="preserve">- Reparabilitat dels productes oferts
- Reciclabilitat dels productes oferts
- Percentatge dels productes dissenyats segons principis d'ecodisseny
- Percentatge de materials sostenibles en productes oferts
- Vida útil dels productes oferts comparats amb la competició 
- Programes de devolució i recollida de productes usats
- Certificacions de sostenibilitat
</t>
  </si>
  <si>
    <t xml:space="preserve">- Percentatge de reducció de materials d'embalatge 
- Percentatge dels materials d'embalatge reciclats 
- Percentatge de materials biodegradables o compostables en l'embalatge dels productes
- Petjada de carboni de l'embalatge
- Petjada hídrica de l'embalatge
- Quantitat de residus generats per volum total de productes venuts
- Taxa de reciclatge dels materials d'embalatge
- Certificacions de sostenibilitat de l'embalatge
</t>
  </si>
  <si>
    <t xml:space="preserve">- Percentatge de productes oferts amb certificacions de sostenibilitat (EU Ecolabel, Energystar, RFA, etc.) 
- Reciclabilitat dels productes oferts 
- Vida útil dels productes (anys de garantia, anys de suport tècnic)
- Materials sostenibles utilitzats en els productes
- Sostenibilitat de l'embalatge
- Impacte reduït durant el cicle de vida dels productes
</t>
  </si>
  <si>
    <t xml:space="preserve">- Taxa de queixes sobre els productes
- Taxa d'enretirades dels productes 
- Taxa de no-conformitat amb requisits de qualitat i/o seguretat
- Taxa de contaminació per objectes estranys
- Seguretat microbiològica
- Gestió d'al·lergens 
- Vida útil del producte
</t>
  </si>
  <si>
    <t xml:space="preserve">- Compliment de les normatives laborals vigents
- Hores de mitjana i màximes de la jornada laboral
- Remuneració mitjana per posició, sexe i edat
- Remuneració mitjana comparat amb costos de vida
- % d'empleats coberts per convenis col·lectius
- Compensació de les hores extraordinàries
- Període de llicència per paternitat/maternitat
</t>
  </si>
  <si>
    <t xml:space="preserve">- Percentatge d'empleats que han rebut una formació en protecció de dades
- Encriptació de dades sensibles
- Polítiques de protecció de dades
- Compliment del Reglament general de protecció de dades
- Procés per obtenir i gestionar el consentiment explicit dels clients per al processament de les seves dades personals
- Tenir registre d'activitats de processament 
- Tenir sistemes de notificació i gestió de bretxes de seguretat
- Freqüència d'auditories internes de protecció de dades
</t>
  </si>
  <si>
    <t xml:space="preserve">- Taxa de retenció dels empleats
- Índex de satisfacció laboral
- Freqüència de retroalimentació d'empleats
- Grau de sentiment de pertinença i orgull envers l'empresa
- Representació de gènere, edat i raça en diferents nivells de l'empresa
- Percentatge de promocions internes 
- Percentatge d'empleats que han rebut formació en diversitat i inclusió
- Enquestes de percepció d'inclusió
</t>
  </si>
  <si>
    <t xml:space="preserve">- % de proveïdors principals (valor de contractes) avaluats en temes de sostenibilitat. 
- Petjada de carboni de la cadena de subministrament
- % d'energia renovable en la cadena de subministrament
- Reducció de residus i reciclatge dins de la cadena de subministrament (ecodisseny, embalatge, programes de retorn (take-back))
- Certificació ambiental i social de proveïdors
- Compliment dels drets laborals 
- Taxa d'accidentabilitat (per x empleats o per x hores treballades)
- Seguretat de l'entorn laboral
</t>
  </si>
  <si>
    <t>Vegeu informació sobre ISO 9001</t>
  </si>
  <si>
    <t xml:space="preserve">Temes específics per al comerç a l'engròs
</t>
  </si>
  <si>
    <r>
      <t>El canvi climàtic és un dels principals desafiaments en l'àmbit de la sostenibilitat que afecta totes les empreses d'alguna manera. Una mesura inicial que les empreses d'aquest sector poden prendre és la instal·lació de capacitat de generació d'energia renovable, com ara panells solars. Això els permet assegurar el subministrament d'energia renovable i reduir la seva petjada de carboni en les operacions. A més, poden considerar la substitució dels gasos refrigerants utilitzats en sistemes d'aire condicionat i altres equips de refrigeració, com ara refrigeradors i congeladors, per gasos amb un menor impacte ambiental. Això és especialment eficaç atès que els gasos refrigerants solen tenir un Potencial d'Escalfament Global significativament més gran que el diòxid de carboni (CO</t>
    </r>
    <r>
      <rPr>
        <vertAlign val="subscript"/>
        <sz val="10"/>
        <rFont val="Arial"/>
        <family val="2"/>
      </rPr>
      <t>2</t>
    </r>
    <r>
      <rPr>
        <sz val="10"/>
        <rFont val="Arial"/>
        <family val="2"/>
      </rPr>
      <t>).</t>
    </r>
  </si>
  <si>
    <t xml:space="preserve">Consulteu més informació sobre gasos refrigerants a Catalunya
</t>
  </si>
  <si>
    <t>El subministrament de materials exerceix un paper fonamental en l'impuls del rendiment sostenible d'una empresa minorista. Una gestió eficient dels materials contribueix a la reducció de residus i emissions, la qual cosa al seu torn disminueix la petjada ambiental de l'empresa. En donar prioritat a fonts sostenibles i treballar amb proveïdors ètics, es promou la responsabilitat social i es garanteix una cadena de subministrament ètica. A més, l'optimització de la gestió de materials pot dur a beneficis econòmics, com ara la reducció dels costos de producció i transport. L'adopció de pràctiques d'embalatge ecològic també atrau consumidors ambientalment conscients. Algunes solucions inclouen estratègies per reduir el rebuig, el reciclatge i la reutilització de materials, i la col·laboració amb proveïdors locals compromesos amb la sostenibilitat. La implementació de tecnologies com el seguiment de productes pot millorar la traçabilitat i la transparència en la cadena de subministrament.</t>
  </si>
  <si>
    <t xml:space="preserve">Consulteu més informació sobre proveïdors a Catalunya
</t>
  </si>
  <si>
    <t xml:space="preserve">Consulteu el Conveni col·lectiu del comerç de Catalunya per a subsectors i empreses sense conveni propi
</t>
  </si>
  <si>
    <t>Una gestió adequada implica la selecció d'embalatges ecoamigables, la minimització de l'ús de plàstics i la promoció del reciclatge. Això redueix la generació de residus, disminueix la petjada ambiental de la cadena de subministrament i contribueix a la conservació de recursos naturals i a la mitigació de l'impacte ambiental. A més, una gestió sostenible d'embalatges enforteix la reputació de l'empresa en satisfer consumidors cada vegada més conscients, a més de reduir costos associats a la disposició de residus.</t>
  </si>
  <si>
    <r>
      <t xml:space="preserve">Consulteu el lloc web de la </t>
    </r>
    <r>
      <rPr>
        <i/>
        <u/>
        <sz val="10"/>
        <color theme="10"/>
        <rFont val="Arial"/>
        <family val="2"/>
      </rPr>
      <t>Sustainable Packaging Coalition</t>
    </r>
    <r>
      <rPr>
        <u/>
        <sz val="10"/>
        <color theme="10"/>
        <rFont val="Arial"/>
        <family val="2"/>
      </rPr>
      <t xml:space="preserve">
</t>
    </r>
  </si>
  <si>
    <t xml:space="preserve">Consulteu la Llei de plàstics d'un sol ús
</t>
  </si>
  <si>
    <t xml:space="preserve">Consulteu els impostos sobre els envasos de plàstic no reutilitzables
</t>
  </si>
  <si>
    <t>Una separació inadequada i insuficient dels residus pot impedir el reciclatge i reaprofitament dels residus, cosa que produeix majors impactes mediambientals. Per tant, és important separar els residus adequadament, especialment enfocant en la separació correcta de residus orgànics i residus no orgànics. La separació dels residus orgànics en permet el compostatge, que genera energia renovable (biogàs) i pot ajudar a recuperar la fertilitat del sòl de manera natural. Altres residus importants de separar són paper, cartró, vidre i envasos de plàstic o metalls.</t>
  </si>
  <si>
    <t xml:space="preserve">Consulteu informació sobre els beneficis del compostatge
</t>
  </si>
  <si>
    <t xml:space="preserve">Consulteu informació sobre els residus comercials
</t>
  </si>
  <si>
    <t>En el context del comerç minorista, garantir la protecció de dades esdevé crucial per a l'èxit de les petites botigues i els negocis de comerç electrònic. A més de complir regulacions, aquesta pràctica genera confiança entre els clients, un aspecte essencial en vendes en línia i en persona. La seguretat de les dades evita possibles vulnerabilitats que podrien perjudicar la reputació i ocasionar despeses legals i financeres. A més, salvaguarda la privacitat de la informació personal i fomenta la fidelitat dels clients. En demostrar un sòlid compromís amb la seguretat de les dades, aquests negocis poden atreure consumidors preocupats per la privacitat i destacar en un mercat minorista cada vegada més competitiu. Això es tradueix en relacions comercials duradores, clients més compromesos i una imatge de marca positiva tant en botigues físiques com en plataformes en línia.</t>
  </si>
  <si>
    <t xml:space="preserve">Consulteu el RGPD
</t>
  </si>
  <si>
    <t>El disseny de productes i la gestió del seu cicle de vida tenen un impacte directe sobre la qualitat, la sostenibilitat i el valor percebut dels productes oferts. Un disseny acurat pot optimitzar l'eficiència en la producció i distribució, reduir costos i minimitzar els residus. A més, una gestió adequada del cicle de vida permet identificar oportunitats de millora, prolongar la vida útil dels productes i adaptar-se als canvis en les preferències del mercat. Això es tradueix en avantatges competitius, com la satisfacció del client en rebre productes d'alta qualitat i respectuosos envers el medi ambient, i en la capacitat de destacar en un mercat cada vegada més conscient de la sostenibilitat. En resum, centrar-se en el disseny i el cicle de vida beneficia la reputació, l'eficiència operativa i la satisfacció del client en el comerç majorista.</t>
  </si>
  <si>
    <t xml:space="preserve">Consulteu més informació sobre l'anàlisi de cicle de vida
</t>
  </si>
  <si>
    <t xml:space="preserve">Consulteu més informació sobre l'ecodisseny
</t>
  </si>
  <si>
    <r>
      <t>Consulteu el lloc web de</t>
    </r>
    <r>
      <rPr>
        <i/>
        <u/>
        <sz val="10"/>
        <color theme="10"/>
        <rFont val="Arial"/>
        <family val="2"/>
      </rPr>
      <t xml:space="preserve"> Cradle to Cradle</t>
    </r>
  </si>
  <si>
    <t>Consulteu informació sobre el Distintiu de garantia de qualitat ambiental específic per a productes de material compostable</t>
  </si>
  <si>
    <t xml:space="preserve">Consulta més informació sobre la Guia de protecció de dades per a comerciants
</t>
  </si>
  <si>
    <t xml:space="preserve">Consulta més informació sobre la LLEI 18/2017, de l'1 d'agost, de comerç, serveis i fires.
</t>
  </si>
  <si>
    <t>Comerç al detall</t>
  </si>
  <si>
    <t xml:space="preserve">- La petjada de carboni de l'empresa (abast 1, 2 i 3), incloent:
+ emissions relacionades amb combustibles fòssils
+ emissions relacionades amb electricitat adquirida 
+ emissions de gasos refrigerants (equips frigorífics, aire condicionat)
- Instal·lacions de capacitat renovable a l'establiment
</t>
  </si>
  <si>
    <r>
      <t>- Certificació d'eficiència energètica
- Consum d'energia per m</t>
    </r>
    <r>
      <rPr>
        <vertAlign val="superscript"/>
        <sz val="10"/>
        <rFont val="Arial"/>
        <family val="2"/>
      </rPr>
      <t>2</t>
    </r>
    <r>
      <rPr>
        <sz val="10"/>
        <rFont val="Arial"/>
        <family val="2"/>
      </rPr>
      <t xml:space="preserve">
- Consum d'energia per vendes (€) 
- Percentatge d'il·luminació amb tecnologia de baix consum
- Eficiència del sistema de climatització (HVAC)
- Ús d'energia renovable (i % del total)
- Ús de sensors i sistemes d'automatització
- Eficiència energètica dels equips frígorífics
</t>
    </r>
  </si>
  <si>
    <t xml:space="preserve">- Compliment de les normatives sobre l'etiquetatge dels productes que contenen químics potencialment danyosos per als humans o la natura
- Disponibilitat d'informació sobre seguretat i fitxes tècniques
- Emmagatzematge segur dels productes químics
- Formació d'empleats sobre els riscos químics
- Gestió adequada dels residus químics
- Prevenció adequada de fuites i abocaments
- Reordenació i ambient laboral segur
- Prohibició de la venda de productes químics perillosos
</t>
  </si>
  <si>
    <t xml:space="preserve">- Reparabilitat dels productes oferts
- Reciclabilitat dels productes oferts
- Percentatge dels productes dissenyats segons principis d'ecodisseny
- Percentatge de materials sostenibles en productes oferts
- Vida útil dels productes oferts comparats amb la competència 
- Programes de devolució i recollida de productes usats
- Certificacions de sostenibilitat
</t>
  </si>
  <si>
    <t>La seguretat i la qualitat d'un producte són fonamentals, no només des d'un punt de vista econòmic, sinó també des d'una perspectiva de sostenibilitat. Les deficiències en la seguretat i/o qualitat del producte poden tenir un impacte negatiu sobre la salut i seguretat dels usuaris, la qual cosa pot donar lloc a diversos riscos, tant en termes de reputació com legals. Per gestionar aquests riscos, les empreses poden prendre mesures com dur a terme proves de productes i gestionar acuradament el contingut, els ingredients i els productes químics utilitzats en el producte.</t>
  </si>
  <si>
    <t xml:space="preserve">- % de compliment de proveïdors de les normatives laborals
- Mitjana i màxim d'hores treballades per setmana
- Índexs de salut i seguretat laboral dels proveïdors
- % de proveïdors que recompensen hores extraordinàries
- % d'empleats amb contractes formals 
- Proveïdors certificats socialment (% valor dels contractes) 
- Participació dels proveïdors en iniciatives de responsabilitat social 
- Nombre de proveïdors auditats per condicions laborals
</t>
  </si>
  <si>
    <t>- % de proveïdors principals (valor de contractes) avaluats en temes de sostenibilitat. 
- Petjada de carboni de la cadena de subministrament
- % d'energia renovable en la cadena de subministrament
- Reducció de residus i reciclatge dins de la cadena de subministrament (ecodisseny, embalatge, programes de retorn (take-back))
- Certificació ambiental i social de proveïdors
- Compliment dels drets laborals 
- Taxa d'accidentabilitat (per x empleats o per x hores treballades)
- Seguretat de l'entorn laboral</t>
  </si>
  <si>
    <t>Consulteu informació sobre l'EMAS</t>
  </si>
  <si>
    <t>Els requisits de divulgació d'informació no financera, especialment pel que fa a la sostenibilitat, estan guanyant rellevància tant per a inversors com per a organismes públics. Aquesta tendència es troba estretament vinculada amb les regulacions de la Unió Europea en el marc del Pla de finances sostenibles i el Pacte verd. Tant la Directiva d'informació corporativa sostenible (CSRD) com la Llei 11/2018 harmonitzen els requisits de divulgació per a les grans empreses. Aquestes i altres iniciatives estan generant un efecte dominó sobre les cadenes de valor i el sistema financer, la qual cosa està portant a una major demanda d'informació per part d'empreses de totes les mides. Per tant, la divulgació d'informació sobre sostenibilitat reforça la posició d'una empresa en el mercat. Per a les petites i mitjanes empreses (PIME) que volen començar a divulgar informació no financera, el marc de referència GRI pot servir com a base.</t>
  </si>
  <si>
    <t>L'empresa ha d'establir un codi de conducta per als seus proveïdors i altres actors en la cadena de valor del negoci. Aquest codi ha de ser signat pels proveïdors i exigir-ne el compliment amb els estàndards de bon govern establerts en el document. Es recomana alinear aquest codi de conducta amb el codi de conducta intern, encara que en certs casos es pot permetre certa flexibilitat, sempre que continuï estant de conformitat amb les regulacions vigents relacionades amb la cadena de valor, com aquelles relacionades amb la no deforestació, els drets humans o les emissions de carboni, entre d'altres. A la columna 'Fonts' adjunta, trobareu un exemple d'un codi de conducta/ètic per a proveïdors del Pacte Mundial de Nacions Unides.</t>
  </si>
  <si>
    <t xml:space="preserve">Temes específics per al comerç minorista
</t>
  </si>
  <si>
    <t xml:space="preserve">Consulteu més informació sobre gasos refrigerants a Espanya
</t>
  </si>
  <si>
    <t>Consulteu informació sobre els beneficis del compostatge</t>
  </si>
  <si>
    <t>Consulteu informació sobre els residus comercials</t>
  </si>
  <si>
    <t>El transport de materials i productes contribueix al canvi climàtic a través de les emissions de carboni que genera. Per aquest motiu, és important considerar formes de transport sostenible, com ara mitjans de transport més respectuosos envers el medi ambient o l'elecció de proveïdors locals, entre d'altres. En el sector de la logística, hi ha iniciatives per reduir les emissions del sector. Un exemple d'aquestes iniciatives és Lean and Green, que ajuda les empreses logístiques a reduir les seves emissions i té un sistema de classificació basat en el seu acompliment en aquest sentit.</t>
  </si>
  <si>
    <r>
      <t xml:space="preserve">Consulteu més informació sobre </t>
    </r>
    <r>
      <rPr>
        <i/>
        <u/>
        <sz val="10"/>
        <color theme="10"/>
        <rFont val="Arial"/>
        <family val="2"/>
      </rPr>
      <t>Lean &amp; Green</t>
    </r>
    <r>
      <rPr>
        <u/>
        <sz val="10"/>
        <color theme="10"/>
        <rFont val="Arial"/>
        <family val="2"/>
      </rPr>
      <t xml:space="preserve"> Espanya</t>
    </r>
  </si>
  <si>
    <t>Consulteu el Pla d'acció per a l'economia circular (UE)</t>
  </si>
  <si>
    <r>
      <t xml:space="preserve">Consulteu el lloc web de </t>
    </r>
    <r>
      <rPr>
        <i/>
        <u/>
        <sz val="10"/>
        <color theme="10"/>
        <rFont val="Arial"/>
        <family val="2"/>
      </rPr>
      <t>Cradle to Cradle</t>
    </r>
    <r>
      <rPr>
        <u/>
        <sz val="10"/>
        <color theme="10"/>
        <rFont val="Arial"/>
        <family val="2"/>
      </rPr>
      <t xml:space="preserve">
</t>
    </r>
  </si>
  <si>
    <t>Consulteu informació sobre el Distintiu de garantia de qualitat ambiental específic per a comerç alimentari</t>
  </si>
  <si>
    <t xml:space="preserve">Aquesta categoria inclou les activitats amb codis CNAE 491 i 492, 493 i 494, que representen tots els transports de mercaderies o persones terrestres.
</t>
  </si>
  <si>
    <t xml:space="preserve">- La petjada de carboni de l'empresa (abast 1, 2 i 3), incloent:
+ emissions relacionades amb combustibles fòssils
+ emissions relacionades amb electricitat adquirida 
+ emissions de gasos refrigerants
+ Altres emissions vinculades amb els materials usats, viatges per a negocis, etc. 
- Percentatge de vehicles elèctrics o híbrids
- Quantitat de biocombustibles utilitzats
</t>
  </si>
  <si>
    <t xml:space="preserve">- Consum de combustible per quilòmetre recorregut
- Consum de combustible per tona de càrrega
- Eficiència energètica de la flota (quilòmetres per litre)
- Variació en el consum de combustible
- Freqüència del manteniment preventiu
- Inversió en tecnologies eficients
- Càrrega útil de la flota
</t>
  </si>
  <si>
    <r>
      <t>- Emissions de partícules PM</t>
    </r>
    <r>
      <rPr>
        <vertAlign val="subscript"/>
        <sz val="10"/>
        <rFont val="Arial"/>
        <family val="2"/>
      </rPr>
      <t>10</t>
    </r>
    <r>
      <rPr>
        <sz val="10"/>
        <rFont val="Arial"/>
        <family val="2"/>
      </rPr>
      <t xml:space="preserve"> i PM</t>
    </r>
    <r>
      <rPr>
        <vertAlign val="subscript"/>
        <sz val="10"/>
        <rFont val="Arial"/>
        <family val="2"/>
      </rPr>
      <t>2,5</t>
    </r>
    <r>
      <rPr>
        <sz val="10"/>
        <rFont val="Arial"/>
        <family val="2"/>
      </rPr>
      <t xml:space="preserve">
- Emissions de diòxid de sofre (SO</t>
    </r>
    <r>
      <rPr>
        <vertAlign val="subscript"/>
        <sz val="10"/>
        <rFont val="Arial"/>
        <family val="2"/>
      </rPr>
      <t>2</t>
    </r>
    <r>
      <rPr>
        <sz val="10"/>
        <rFont val="Arial"/>
        <family val="2"/>
      </rPr>
      <t>) 
- Diòxid de nitrogen (NO</t>
    </r>
    <r>
      <rPr>
        <vertAlign val="subscript"/>
        <sz val="10"/>
        <rFont val="Arial"/>
        <family val="2"/>
      </rPr>
      <t>2</t>
    </r>
    <r>
      <rPr>
        <sz val="10"/>
        <rFont val="Arial"/>
        <family val="2"/>
      </rPr>
      <t>)
- Ozó troposfèric (O</t>
    </r>
    <r>
      <rPr>
        <vertAlign val="subscript"/>
        <sz val="10"/>
        <rFont val="Arial"/>
        <family val="2"/>
      </rPr>
      <t>3</t>
    </r>
    <r>
      <rPr>
        <sz val="10"/>
        <rFont val="Arial"/>
        <family val="2"/>
      </rPr>
      <t>)
- Monòxid de carboni (CO)</t>
    </r>
  </si>
  <si>
    <t xml:space="preserve">- Condicions de la flota de vehicles 
- Freqüència de manteniment preventiu 
- Taxa d'accidentabilitat (per x empleats o per x hores treballades)
- Índex de gravetat d'accidents
- Taxa de lesions o malalties occupacionals
- Taxa d'absentisme per malaltia o lesions
- Compliment de la regulació d'hores de descans
- Freqüència d'avaluació dels riscos laborals
</t>
  </si>
  <si>
    <t>- Percentatge d' empleats que han rebut una formació en protecció de dades
- Encriptació de dades sensibles
- Polítiques de protecció de dades
- Compliment del Reglament general de protecció de dades 
- Tenir sistemes de notificació i gestió de bretxes de seguretat
- Freqüència d'auditories internes de protecció de dades</t>
  </si>
  <si>
    <t>- Sistema de gestió de riscos crítics
- Disponibilitat d'un pla de contingència 
- Disponibilitat d'un pla de continuïtat del negoci
- Freqüència de simulacres i ejercicis d'emergència
- Percentatge d'empleats amb formació sobre incidents crítics
- Temps de resposta davant d'un incident crític 
- Anàlisi després d'incidents
- Implementació d'accions correctives</t>
  </si>
  <si>
    <r>
      <t xml:space="preserve">Atès que el món de la indústria, clients del sector del transport, produeix productes físics, els materials d'embalatge utilitzats per al transport i la distribució d'aquests productes són un factor crucial amb un impacte potencialment significatiu. Per aquesta raó, la Unió Europea ha implementat una nova legislació que requereix la reducció de l'ús de plàstics d'un sol ús i en prohibeix certes aplicacions. A més, des de l'1 de gener, va entrar en vigor la Llei 7/2022, que estableix un nou impost sobre els envasos de plàstic no reutilitzables. Per tant, és important cercar materials d'embalatge que generin un menor impacte sobre el medi ambient, adaptats a l'aplicació i la ubicació geogràfica dels productes. La </t>
    </r>
    <r>
      <rPr>
        <i/>
        <sz val="10"/>
        <rFont val="Arial"/>
        <family val="2"/>
      </rPr>
      <t>Sustainable Packaging Coalition</t>
    </r>
    <r>
      <rPr>
        <sz val="10"/>
        <rFont val="Arial"/>
        <family val="2"/>
      </rPr>
      <t xml:space="preserve"> ofereix diverses iniciatives destinades a ajudar les empreses a reduir l'impacte ambiental dels seus envasos.</t>
    </r>
  </si>
  <si>
    <t xml:space="preserve">Temes específics del transport per carretera
</t>
  </si>
  <si>
    <t>La implementació de normatives com l'Euro 6 i les futures Euro 7 és crucial per millorar l'impacte ambiental de les empreses de transport per carretera. Aquestes regulacions estableixen límits més estrictes a les emissions d'òxids de nitrogen i partícules en vehicles dièsel, amb la qual cosa promouen tecnologies més netes i eficients. Complir aquestes normatives permet a les empreses reduir la seva petjada de carboni, cosa que millora la qualitat de l'aire en àrees urbanes. A més, en invertir en flotes més ecològiques, les organitzacions s'avancen a futures regulacions i eviten costos per sancions i restriccions. En resum, Euro 6 i 7 demostren el compromís de les empreses amb la sostenibilitat, milloren la seva imatge, atrauen clients ambientalment conscients i contribueixen a la reducció d'emissions de carboni per combatre el canvi climàtic.</t>
  </si>
  <si>
    <t xml:space="preserve">Consulteu informació sobre l'Euro 6
</t>
  </si>
  <si>
    <t xml:space="preserve">Consulteu la proposta per a l'actualització Euro 7
</t>
  </si>
  <si>
    <t>La Directiva 2014/94/UE estableix mesures per promoure la disponibilitat i l'ús de combustibles alternatius, com el gas natural comprimit, el gas natural liquat, l'hidrogen i l'electricitat, en el transport terrestre. Això pot tenir un impacte significatiu en la viabilitat de la transició d'una flota de vehicles envers combustibles alternatius. En conseqüència, les empreses de transport podrien reduir les seves emissions de carboni en descarbonitzar la seva flota i augmentar la utilització de combustibles alternatius amb emissions de carboni més baixes.</t>
  </si>
  <si>
    <t>Consulteu la Directiva 2014/94/UE</t>
  </si>
  <si>
    <t xml:space="preserve">Consulteu informació sobre Moves III
</t>
  </si>
  <si>
    <t xml:space="preserve">Consulteu informació sobre les ZBE a Catalunya
</t>
  </si>
  <si>
    <t xml:space="preserve">Consulteu informació sobre les ZBE a la UE
</t>
  </si>
  <si>
    <r>
      <t>El Reglament (UE) 2020/740 estableix un marc per etiquetar pneumàtics a la UE a fi de millorar l'eficiència energètica i la seguretat viària. Els pneumàtics han de dur etiquetes que mostrin resistència a la rodadura, adherència en superfície mullada i poc soroll exterior. Això ajuda els consumidors a triar pneumàtics informats. L'eficiència del pneumàtic impacta sobre el consum de combustible i emissions de CO</t>
    </r>
    <r>
      <rPr>
        <vertAlign val="subscript"/>
        <sz val="10"/>
        <rFont val="Arial"/>
        <family val="2"/>
      </rPr>
      <t>2</t>
    </r>
    <r>
      <rPr>
        <sz val="10"/>
        <rFont val="Arial"/>
        <family val="2"/>
      </rPr>
      <t xml:space="preserve"> i afavoreix la sostenibilitat. L'etiqueta també informa sobre adherència en mullat i soroll. El reglament cerca millorar la seguretat en facilitar l'elecció de pneumàtics amb bona adherència en superfícies humides. Per millorar la sostenibilitat en termes de seguretat, contaminació acústica, eficiència energètica i més, les empreses de transport per carretera poden utilitzar la nova etiqueta per avaluar les diferents opcions de pneumàtics.</t>
    </r>
  </si>
  <si>
    <t xml:space="preserve">Consulteu l'etiqueta de la UE per a pneumàtics
</t>
  </si>
  <si>
    <t>Diversos - transport multimodal</t>
  </si>
  <si>
    <t>La política de transport de la UE té com a objectiu una forma de mobilitat que sigui sostenible, energèticament eficient i respectuosa envers el medi ambient. Aquests objectius es poden assolir mitjançant l'ús de transport multimodal que combini de manera òptima els diferents modes de transport, aprofiti les fortaleses de cadascú i en minimitzi les debilitats. Per tant, la Comissió Europea persegueix una política de multimodalitat que asseguri una millor integració dels modes de transport i estableixi la interoperabilitat en tots els nivells del sistema de transport.
A més, per garantir que les cadenes de transport satisfacin les necessitats dels usuaris, calen serveis logístics eficients. La Comissió Europea treballa en col·laboració amb les parts interessades per donar suport a la creació d'un marc favorable per als serveis logístics a la UE.</t>
  </si>
  <si>
    <t xml:space="preserve">Consulteu informació sobre transport multimodal
</t>
  </si>
  <si>
    <t>Diversos - Railfreightforward</t>
  </si>
  <si>
    <t>Railfreightforward és una col·laboració d'empreses de transport ferroviari i logística per promoure el transport de mercaderies per ferrocarril. La plataforma té com a objectiu desenvolupar i implementar solucions innovadores que augmentin l'ús de trens per al transport de mercaderies. A més, col·labora amb els gestors d'infraestructura i els governs per millorar la infraestructura ferroviària i augmentar la competitivitat en comparació amb el transport per carretera. Unir-se a aquesta iniciativa pot proporcionar avantatges a través de la col·laboració i l'intercanvi de millors pràctiques a escala internacional.</t>
  </si>
  <si>
    <t xml:space="preserve">Consulteu el lloc web de Railfreightforward
</t>
  </si>
  <si>
    <t>Diversos - Shift2Rail</t>
  </si>
  <si>
    <t>Shift2Rail és la primera iniciativa ferroviària europea que se centra en la recerca i innovació (R+I) amb un enfocament en solucions orientades al mercat. El seu objectiu és accelerar la integració de tecnologies avançades en solucions innovadores per a productes ferroviaris. Shift2Rail busca millorar la competitivitat de la indústria ferroviària europea i abordar les canviants necessitats de transport a la Unió Europea. La recerca i la innovació realitzades en el marc d'aquesta iniciativa, en col·laboració amb Horitzó 2020, desenvolupen tecnologies per avançar envers la creació de l'Àrea Ferroviària Europea Única (AFEU). Els objectius de Shift2Rail són ambiciosos i tenen el suport d'un sòlid marc estratègic. En concret, cerquen duplicar la capacitat del sistema ferroviari europeu, millorar la seva confiabilitat i qualitat de servei en un 50% i reduir a la meitat els costos del cicle de vida.</t>
  </si>
  <si>
    <t xml:space="preserve">Consulteu el lloc web de Shift2Rail
</t>
  </si>
  <si>
    <t>Social-Manual per a la identificació i avaluació de riscos laborals dels conductors del sector transport per carretera</t>
  </si>
  <si>
    <t>Consulta informació sobre el Manual per a la identificació i avaluació de riscos laborals dels conductors del sector transport per carretera</t>
  </si>
  <si>
    <t>Resiliència del model de negoci - Subvencions per a la modernització d'empreses privades de transport per carretera</t>
  </si>
  <si>
    <t>Consulta informació sobre les Subvencions per a la modernització d'empreses privades de transport per carretera</t>
  </si>
  <si>
    <t xml:space="preserve">Transport Ferroviari
</t>
  </si>
  <si>
    <t xml:space="preserve">Aquesta categoria inclou les activitats amb codis CNAE 491 i 492, representant tots els transports per via ferroviària tant de persones com de mercaderies.
</t>
  </si>
  <si>
    <t>Emissions de GEI</t>
  </si>
  <si>
    <t>Qualitat de l' aire</t>
  </si>
  <si>
    <t>Medi Ambient</t>
  </si>
  <si>
    <t xml:space="preserve">- La petjada de carboni de l'empresa (abast 1, 2 i 3) incloent:
+ emissions relacionades amb combustibles fòssils
+ emissions relacionades amb electricitat adquirida 
+ emissions de gasos refrigerants
+ Altres emissions vinculades amb els materials usats, viatges per a negocis, etc. 
- Percentatge de vehicles elèctrics o híbrids
</t>
  </si>
  <si>
    <t xml:space="preserve">- Emissions de partícules PM10 i PM2.5
- Emissions de Diòxid d'Azufre (SO2) 
- Diòxid de Nitrogen (NO2)
- Ozó Troposfèric (O3)
- Monòxid de Carboni (CO)
</t>
  </si>
  <si>
    <t>Condicions Laborals</t>
  </si>
  <si>
    <t>Salut i Seguretat Occupacional</t>
  </si>
  <si>
    <t xml:space="preserve">- Compliment de les normatives laborals vigents
- Hores mitjana i màximes de la jornada laboral
- Remuneració mitjana per posició, sexe i edat
- Remuneració mitjana comparat amb costos de vida
- % d'empleats coberts per convenis col·lectius
- Compensació de les hores extraordinàries
- Període de llicència per paternitat/maternitat
</t>
  </si>
  <si>
    <t>- Condicions de la flota de vehicles 
- Freqüència de manteniment preventiu 
- Taxa d'accidentabilitat (per x empleats o per x hores treballats)
- Índex de gravetat d' accidents
- Taxa de lesions o malalties occupacionals
- Taxa d' absentisme per malaltia o lesions
- Compliment amb la regulació d' hores de descans
- Freqüència d' avaluació dels riscos laborals</t>
  </si>
  <si>
    <t xml:space="preserve">- Freqüència de reunions amb les comunitats
- Participació en consultes públiques
- Disponibilitat de canals de comunicació 
- Temps i qualitat de respostes a queixes o preguntes
- Inclusió de representants de comunitats en taules de diàleg
- Reducció de soroll i vibracions
- Prevenció de riscos de vessaments
- Nombre d' ocupacions generades a les comunitats locals
- Inversions en millores de la infaestructura i la comunitat
- Nível d'investigació i satisfacció de les comunitats
</t>
  </si>
  <si>
    <t>Bon Govern</t>
  </si>
  <si>
    <t>Gestió de Riscos d'Incidents Critics</t>
  </si>
  <si>
    <t>- Sistema de gestió de riscos critics
- Disponibilitat d' un pla de contingència 
- Disponibilitat d' un pla de continuïtat del negoci
- Freqüència de simulacres i exercicis d' emergència
- Percentatge dels empleats amb formació sobre incidents crítics
- Temps de resposta davant d' un incident crític 
- Analisi després d'incidents
- Implementació d' accions correctives</t>
  </si>
  <si>
    <t xml:space="preserve">Mesures de Gestió Generals
</t>
  </si>
  <si>
    <t xml:space="preserve">Bon Govern - Conducta de Negocis
</t>
  </si>
  <si>
    <t>Comptar amb un codi de conducta que estableix normes per a tots els empleats. Aquest document s'haurà d'alinear amb les normatives vigents per al sector, incloent especialment temes ambientals (contaminació de l'aire, aigua, sòl, impactes en biodiversitat, emissions GHG etc.), drets humans, condicions laborals, seguretat, anti-corrupció i suborn, promoció de la igualtat (de gènere) i la inclusió de tots.</t>
  </si>
  <si>
    <t xml:space="preserve">Consulta més informació sobre el codi de conducta
</t>
  </si>
  <si>
    <t xml:space="preserve">Bon Govern - Control de Qualitat
</t>
  </si>
  <si>
    <t>L' empresa ha d' establir un sistema de gestió i control de qualitat per a tots els serveis i productes oferts, per assegurar la qualitat del producte i la seguretat per als clients. És una bona pràctica certificar aquest sistema de gestió amb un ISO9001.</t>
  </si>
  <si>
    <t xml:space="preserve">Veure informació sobre ISO 9001.
</t>
  </si>
  <si>
    <t xml:space="preserve">Impactes ambientals - Sistema de gestió ambiental
</t>
  </si>
  <si>
    <t>L' empresa ha d' establir un sistema de gestió mediambiental que permet identificar i avaluar els potencials i reals impactes, riscos i oportunitats relacionats amb la sostenibilitat de l' empresa. Els marcs per desenvolupar un sistema de gestió mediambiental són EMAS de la Unió Europea i la ISO140001</t>
  </si>
  <si>
    <t>General - Estat d'Informe No Financer</t>
  </si>
  <si>
    <t xml:space="preserve">Els requisits de divulgació d' informació no financera, especialment pel que fa a la sostenibilitat, estan guanyant rellevància tant per a inversors com per a organismes públics. Aquesta tendència es troba estretament vinculada amb les regulacions de la Unió Europea en el marc del Pla de Finances Sostenibles i el Pacte Verd. Tant la Directiva d'Informació Empresarial Sostenible Corporativa (CSRD) com la Llei 11/2018 harmonitzen els requisits de divulgació per a les grans empreses. Aquestes i altres iniciatives estan generant un efecte dominó en les cadenes de valor i en el sistema financer, la qual cosa està portant a una major demanda d'informació per part d'empreses de totes les mides. Per tant, la divulgació d' informació sobre sostenibilitat reforça la posició d' una empresa en el mercat. Per a les petites i mitjanes empreses (Pimes) que volen començar a divulgar informació no financera, el marc de referència GRI pot servir com a base.
</t>
  </si>
  <si>
    <t xml:space="preserve">Consulta més informació sobre el CSRD
</t>
  </si>
  <si>
    <t xml:space="preserve">Consulta llei 11/2018
</t>
  </si>
  <si>
    <t xml:space="preserve">Consulta més informació sobre el marc GRI
</t>
  </si>
  <si>
    <t xml:space="preserve">Medi Ambient - Emissions de GEI
</t>
  </si>
  <si>
    <t xml:space="preserve">Calcular la petjada de carboni i adoptar fonts d' energia renovable beneficien les empreses de diverses maneres. Avaluar la petjada de carboni demostra un compromís ambiental sòlid, enfortint la reputació i atraient clients sensibles a la sostenibilitat. La instal·lació de fonts d'energia renovable, com panells solars, no només redueix els costos a llarg termini, sinó que també disminueix la dependència dels combustibles fòssils, cosa que al seu torn ajuda a mitigar l'impacte ambiental.
A més d' aquests beneficis, complir amb objectius d' energia sostenible pot generar incentius fiscals i subvencions que milloren la rendibilitat de l' empresa. Aquestes accions no només aporten beneficis econòmics i mediambientals, sinó que també reforcen la responsabilitat social de l' empresa i la posicionen com a líder en pràctiques empresarials sostenibles.
</t>
  </si>
  <si>
    <t xml:space="preserve">Consulta informació sobre el GHG Protocol
</t>
  </si>
  <si>
    <t xml:space="preserve">L' eficiència energètica exerceix un paper fonamental en la reducció de les emissions de gasos amb efecte d' hivernacle de qualsevol empresa. Millorar l' eficiència energètica permet a una empresa generar valor amb un menor ús de recursos escassos. El document BREF de la Unió Europea proporciona orientació específica per assolir un ús eficient dels recursos i l' energia en diversos sectors, promovent l' adopció de pràctiques sostenibles i alineades amb els objectius de la UE. Això no només beneficia la sostenibilitat econòmica de l'empresa, sinó que també contribueix a combatre el canvi climàtic.
</t>
  </si>
  <si>
    <t>Consulta el Document de Referència sobre les millors tecnologies disponibles en termes d' eficiència energètica</t>
  </si>
  <si>
    <t xml:space="preserve">Protecció de Dades - Política de protecció de dades
</t>
  </si>
  <si>
    <t xml:space="preserve">L' empresa ha d' establir una política de protecció de dades, alineades amb la llei de protecció de dades de la UE. tot el personal ha de rebre formació per gestionar dades del client de forma adequada i hi ha d' haver un protocol de contigència per a casos d' emergència. Adjunt a la columna de fonts troba un exemple d'una política de protecció de dades de l'Agència Catalana de Turisme
</t>
  </si>
  <si>
    <t xml:space="preserve">Consulta un exemple d'una política de protecció de dades
</t>
  </si>
  <si>
    <t>Bon Govern - Conducta de Proveïdors</t>
  </si>
  <si>
    <t xml:space="preserve">L' empresa ha d' establir un codi de conducta per als seus proveïdors i altres actors en la cadena de valor del negoci. Aquest codi ha de ser signat pels proveïdors i exigir-ne el compliment amb els estàndards de bon govern establerts en el document. Es recomana alinear aquest codi de conducta amb el codi de conducta intern, encara que en certs casos es pot permetre certa flexibilitat, sempre que continuï estant de conformitat amb les regulacions vigents relacionades amb la cadena de valor, com aquelles relacionades amb la no desforestació, els drets humans, les emissions de carboni, entre d' altres. A la columna 'fonts' adjunta, trobaràs un exemple d'un codi de conducta/ètica per a proveïdors d'Iberdrola.
</t>
  </si>
  <si>
    <t xml:space="preserve">Consulta un exemple de codi de conducta/ètica de proveïdors
</t>
  </si>
  <si>
    <t xml:space="preserve">Social - Pla d'Igualtat de Gènere
</t>
  </si>
  <si>
    <t xml:space="preserve">L'empresa ha d'implementar un pla d'igualtat de gènere en compliment amb el Reial decret 901/2020. Aquest requisit implica que les empreses han d' adoptar, prèvia negociació, mesures destinades a prevenir qualsevol forma de discriminació laboral entre dones i homes, així com a fomentar condicions de treball que evitin l' assetjament sexual i l' assetjament per raó de gènere. A més, han d' establir procediments específics per a la prevenció d' aquests comportaments i per gestionar les denúncies o reclamacions presentades per aquells que n' hagin estat víctimes.
</t>
  </si>
  <si>
    <t>Consulta el Reial Decret 901/2020</t>
  </si>
  <si>
    <t xml:space="preserve">Medi Ambient - Residus
</t>
  </si>
  <si>
    <t>A partir de l'1 de gener de 2023, va entrar en vigor la Llei 7/2022, que amplia la responsabilitat del productor de residus fins que aquests hagin estat gestionats per un gestor final. Això té implicacions per a totes les empreses que generen residus, ja que s' han d' assegurar que els residus siguin tractats o eliminats de manera adequada. A més, la llei estableix que el productor de residus ha de fer separacions mínimes o garantir que un gestor les realitzi. També se li exigeix prioritzar la prevenció de la generació de residus per sobre de la reutilització, i aquesta per sobre del reciclatge, i aquest últim per sobre de l' eliminació. Finalment, s' ha de donar prioritat als gestors ubicats geogràficament a prop.</t>
  </si>
  <si>
    <t>Consulta Llei 7/2022</t>
  </si>
  <si>
    <t xml:space="preserve">Medi Ambient - Materials d'Embalatge
</t>
  </si>
  <si>
    <t>Els embalatges adequats redueixen el risc de danys durant el transport, minimitzant la necessitat de devolucions i reemplaçaments. Optar per materials d' embalatge sostenibles, reciclables o reutilitzables, disminueix la generació de residus i contribueix a la conservació de recursos. A més, una gestió eficaç redueix l' espai necessari per emmagatzemar i transportar embalatges, optimitzant la capacitat de càrrega i reduint les emissions de carboni associades.</t>
  </si>
  <si>
    <t xml:space="preserve">Consulta informació sobre el Sustainable Packiging Coalition
</t>
  </si>
  <si>
    <t xml:space="preserve">Consulta informació sobre la llei de plàstics d'un sol ús
</t>
  </si>
  <si>
    <t xml:space="preserve">Consulta informació sobre impostos sobre els envasos de plàstic no reutilitzables
</t>
  </si>
  <si>
    <t xml:space="preserve">Temes específics per a transport ferroviari
</t>
  </si>
  <si>
    <t xml:space="preserve">Ambiental - Emissions de carboni (Lean &amp; Green)
</t>
  </si>
  <si>
    <t>Lean &amp; Green és la principal plataforma europea de col·laboració dissenyada per reduir les emissions associades a les operacions logístiques. Aquesta iniciativa dóna suport a les empreses en la reducció de les emissions de gasos d'efecte hivernacle (GEI) mitjançant objectius quantitatius en diversos passos. L'objectiu final és aconseguir la neutralitat de carboni per a l'any 2050, a través d'una col·laboració intensiva en la plataforma i la transferència de coneixements entre els membres a nivell internacional. Aquesta iniciativa no només contribueix a la reducció d'emissions, sinó que també amplia la xarxa de contactes de l'empresa, proporciona transparència i traçabilitat a possibles clients.</t>
  </si>
  <si>
    <t xml:space="preserve">Consulta més informació sobre Lean &amp; Green Espanya
</t>
  </si>
  <si>
    <t xml:space="preserve">Ambiental - Emissions de carboni (EN 16258)
</t>
  </si>
  <si>
    <t>La norma EN 16258 és una guia europea que estableix un marc per calcular i reportar les emissions de gasos d'efecte hivernacle (GEI) en el transport. S' aplica a diverses modalitats, inclòs el transport ferroviari. Per a les empreses de transport ferroviari, aquesta norma implica la necessitat de mesurar i divulgar les emissions de GEH de manera estandarditzada. Això podria requerir la implementació de sistemes de seguiment i recopilació de dades precises sobre l' operació de trens i l' energia utilitzada. En adoptar EL 16258, les companyies de trens poden demostrar el seu compromís amb la sostenibilitat, millorar la gestió ambiental i ajustar les operacions per reduir les emissions. A més, la norma fomenta la comparabilitat i la transparència en la indústria, cosa que podria influir en les decisions d' inversió i en la preferència del client cap a operadors ferroviaris més sostenibles.</t>
  </si>
  <si>
    <t>Consulta EN 16258</t>
  </si>
  <si>
    <t xml:space="preserve">Varis - Regulació (UE) 2016/796
</t>
  </si>
  <si>
    <t>La Regulació (UE) 2016/796 estableix l'especificació tècnica per a la interoperabilitat del sistema de gestió del trànsit ferroviari europeu (ERTMS). ERTMS busca unificar i millorar la seguretat i eficiència en la xarxa ferroviària de la Unió Europea mitjançant l'adopció d'un sistema de senyalització i control més avançat i harmonitzat. Les implicacions per a les empreses de transport ferroviari són significatives. Han d' adaptar les seves infraestructures i flotes per complir amb els requisits tècnics i de seguretat d' ERTMS. Això implica inversions en equips i sistemes de bord, així com en l' actualització de les vies i la senyalització. Malgrat els costos inicials, la implementació d'ERTMS pot millorar la interoperabilitat transfronterera, augmentar la seguretat i l'eficiència operativa, i potencialment obrir noves oportunitats de negoci en el mercat ferroviari europeu.</t>
  </si>
  <si>
    <t>Consulta regulació UE 2016/796</t>
  </si>
  <si>
    <t>Varis - Railfreightforward</t>
  </si>
  <si>
    <t>Railfreightforward és una col·laboració d'empreses de transport ferroviari i logística per promoure el transport de mercaderies per ferrocarril. La plataforma té com a objectiu desenvolupar i implementar solucions innovadores que augmentin l'ús de trens per al transport de mercaderies. A més, col·labora amb els gestors d'infraestructura i els governs per millorar la infraestructura ferroviària i augmentar la competitivitat en comparació amb el transport per carretera. Unir-se a aquesta iniciativa pot proporcionar avantatges a través de la col·laboració i l'intercanvi de millors pràctiques a nivell internacional.</t>
  </si>
  <si>
    <t xml:space="preserve">Consulta el lloc web de Railfreightforward
</t>
  </si>
  <si>
    <t>Varis - Shift2Rail</t>
  </si>
  <si>
    <t>Shift2Rail és la primera iniciativa ferroviària europea que se centra en la recerca i innovació (R+I) amb un enfocament en solucions orientades al mercat. El seu objectiu és accelerar la integració de tecnologies avançades en solucions innovadores per a productes ferroviaris. Shift2Rail busca millorar la competitivitat de la indústria ferroviària europea i abordar les canviants necessitats de transport a la Unió Europea. La recerca i la innovació realitzades en el marc d'aquesta iniciativa, en col·laboració amb Horitzó 2020, desenvolupen tecnologies per avançar cap a la creació de l'Àrea Ferroviària Europea Única (AFEU). Els objectius de Shift2Rail són ambiciosos i estan recolzats per un sòlid marc estratègic. En concret, busquen duplicar la capacitat del sistema ferroviari europeu, millorar la seva confiabilitat i qualitat de servei en un 50 % i reduir a la meitat els costos del cicle de vida.</t>
  </si>
  <si>
    <t xml:space="preserve">Consulta el lloc web de Shift2Rail
</t>
  </si>
  <si>
    <t xml:space="preserve">Varis - Transport multimodal </t>
  </si>
  <si>
    <t xml:space="preserve">La política de transport de la Unió Europea (UE) s'enfoca a promoure una mobilitat sostenible, energèticament eficient i respectuosa amb el medi ambient. Per assolir aquests objectius, es promou l' ús del transport multimodal, que combina eficaçment diferents modes de transport, aprofitant els seus avantatges i minimitzant les seves limitacions. La Comissió Europea treballa en la promoció de la multimodalitat per aconseguir una millor integració dels diferents modes de transport i garantir la interoperabilitat en tots els nivells del sistema de transport.
A més, per assegurar-se que les cadenes de transport satisfacin les necessitats dels usuaris i siguin eficients, és essencial comptar amb serveis logístics eficaços. La Comissió Europea col·labora estretament amb les parts interessades per crear un entorn propici per als serveis logístics a la UE, la qual cosa inclou la millora d'infraestructures, la promoció de l'eficiència en la gestió logística i la facilitació de la mobilitat de mercaderies a tota la regió. Això contribueix a un sistema de transport més eficient i sostenible a la UE.
</t>
  </si>
  <si>
    <t xml:space="preserve">Consulta més informació sobre Transport Multimodal
</t>
  </si>
  <si>
    <t>Hoteleria</t>
  </si>
  <si>
    <r>
      <t>- Certificació d'eficiència energètica
- Consum d'energia per m</t>
    </r>
    <r>
      <rPr>
        <vertAlign val="superscript"/>
        <sz val="10"/>
        <rFont val="Arial"/>
        <family val="2"/>
      </rPr>
      <t>2</t>
    </r>
    <r>
      <rPr>
        <sz val="10"/>
        <rFont val="Arial"/>
        <family val="2"/>
      </rPr>
      <t xml:space="preserve">
- Consum d'energia per client 
- Percentatge d'il·luminació amb tecnologia de baix consum
- Eficiència del sistema de climatització (HVAC)
- Ús d'energia renovable (i % del total)
- Ús de sensors i sistemes d'automatització
- Eficiència energètica dels equips de cuina
</t>
    </r>
  </si>
  <si>
    <t xml:space="preserve">- Cabals de les aixetes i les instal·lacions sanitàries
- Captació d'aigües pluvials
- Taxa de reutilització de les aigües grises
- Eficiència de sistemes de reg
- Consum d'aigua per client 
- Eficiència de la bugaderia
- Consum d'aigua per a piscines
- Avaluació de la qualitat d'aigua abocada
- Avaluació del cicle d'aigua a l'establiment
</t>
  </si>
  <si>
    <r>
      <t>- Nombre i freqüència d'accidents i lesions laborals
- Mesures de seguretat i salut en el treball
- Nombre total de dies de treball perduts a causa de lesions o accidents laborals
- Gravetat de lesions laborals (nombre de dies de baixa)
- Freqüència de l'avaluació de riscos laborals
- Ús d'equips de protecció personal
- Quantitat i naturalesa d'incidents propers (</t>
    </r>
    <r>
      <rPr>
        <i/>
        <sz val="10"/>
        <rFont val="Arial"/>
        <family val="2"/>
      </rPr>
      <t>near misses</t>
    </r>
    <r>
      <rPr>
        <sz val="10"/>
        <rFont val="Arial"/>
        <family val="2"/>
      </rPr>
      <t>)
- Efectivitat dels programes de prevenció d'accidents
- Compliment de la normativa de seguretat vigent</t>
    </r>
  </si>
  <si>
    <t xml:space="preserve">- Qualificació de satisfacció del client
- Índex de repetició de clients
- Comentaris i ressenyes positives
- Índex de recomanacions
- Temps d'espera 
- Personalització del servei
- Compliment de les expectatives
- Resposta a sol·licituds o queixes
</t>
  </si>
  <si>
    <t xml:space="preserve">- Percentatge d'opcions saludables disponibles en el menú (plats baixos en greixos saturats, sucres afegits, sodi)
- Etiquetatge nutricional clar en el menú
- Percentatge d'opcions vegetarianes i veganes disponibles
- Ús d'ingredients locals i de temporada
- Oferta d'opcions sense gluten
- Política d'ingredients saludables
- Mida de les porcions adequades 
- Disponibilitat de fruites i verdures
- Disponibilitat d'informació sobre al·lèrgens
</t>
  </si>
  <si>
    <t xml:space="preserve">- Percentatge d'empleats que han deixat l'empresa durant l'últim any
- Percentatge de dies de treball perduts a causa d'absències no planificades
- Nivell de satisfacció laboral 
- Quantitat d'hores extres i càrrega de treball per empleats
- Igualtat i diversitat en el treball
- Percentatges de contractes fixos, variables i sense garantia d'hores
</t>
  </si>
  <si>
    <t xml:space="preserve">- Percentatge de proveïdors sostenibles
- Percentatge d'aliments i productes adquirits a proveïdors locals i en temporada
- Nombre de proveïdors certificats per estàndards de sostenibilitat reconeguts
- Impacte ambiental dels proveïdors en termes d'emissions de carboni i ús d'aigua, entre d'altres
- Compromís amb la comunitat i pràctiques justes en la cadena de subministrament
- Transparència en la informació proporcionada als clients sobre els productes i les pràctiques sostenibles
</t>
  </si>
  <si>
    <t>Vegeu informació sobre la ISO 9001</t>
  </si>
  <si>
    <t>Consulteu més informació sobre la CSRD</t>
  </si>
  <si>
    <t>Consulteu informació sobre el Protocol de GEH</t>
  </si>
  <si>
    <t>Una gestió efectiva involucra la selecció de proveïdors compromesos amb envasos ecològics i la implementació de pràctiques de reciclatge i reutilització. Això redueix la quantitat de residus generats, minimitza la demanda de recursos i fomenta l'economia circular.
Els avantatges són múltiples. En primer lloc, es redueixen els costos associats a l'eliminació de residus i s'eviten sancions per no complir les regulacions ambientals. A més, l'adopció d'envasos sostenibles millora la imatge de l'empresa, atrau clients preocupats pel medi ambient i respon a la demanda creixent de pràctiques responsables. En conjunt, la gestió sostenible d'envasos reforça la reputació i l'eficiència operativa de les empreses del sector de l'hoteleria.</t>
  </si>
  <si>
    <r>
      <t xml:space="preserve">Consulteu informació sobre la </t>
    </r>
    <r>
      <rPr>
        <i/>
        <u/>
        <sz val="10"/>
        <color theme="10"/>
        <rFont val="Arial"/>
        <family val="2"/>
      </rPr>
      <t>Sustainable Packaging Coalition</t>
    </r>
  </si>
  <si>
    <t>Consulteu informació sobre la llei de plàstics d'un sol ús</t>
  </si>
  <si>
    <t>Consulteu informació sobre impostos sobre els envasos de plàstic no reutilizable</t>
  </si>
  <si>
    <r>
      <t>Consulteu informació sobre la iniciativa</t>
    </r>
    <r>
      <rPr>
        <i/>
        <u/>
        <sz val="10"/>
        <color theme="10"/>
        <rFont val="Arial"/>
        <family val="2"/>
      </rPr>
      <t xml:space="preserve"> Lean and Green</t>
    </r>
    <r>
      <rPr>
        <u/>
        <sz val="10"/>
        <color theme="10"/>
        <rFont val="Arial"/>
        <family val="2"/>
      </rPr>
      <t xml:space="preserve">
</t>
    </r>
  </si>
  <si>
    <t>Temes específics per a l'hoteleria</t>
  </si>
  <si>
    <t>Requisit</t>
  </si>
  <si>
    <t>Els materials que utilitzem en les nostres operacions tenen un impacte en el medi ambient al llarg del seu cicle de vida. Per tant, és important considerar l'ús de productes amb un baix impacte ambiental, com ara productes orgànics i biodegradables. A més, seria ideal que aquests productes provinguin de proveïdors locals per promoure l'economia local i reduir les emissions relacionades amb el transport a llarga distància.</t>
  </si>
  <si>
    <t xml:space="preserve">Consulteu el lloc de proveïdors a Catalunya
</t>
  </si>
  <si>
    <t>Les empreses que ofereixen aliments als seus clients tenen una oportunitat per reduir el seu impacte ambiental i proporcionar opcions més saludables. Poden oferir plats elaborats amb productes ecològics, productes de proximitat i de temporada, oferta vegetariana i vegana. Els establiments amb servei de restauració han de posar especial èmfasi en la prevenció del malbaratament alimentari.</t>
  </si>
  <si>
    <t xml:space="preserve">Aliments: emissions de gasos amb efecte d'hivernacle a tota la cadena de subministrament
</t>
  </si>
  <si>
    <t xml:space="preserve">Consulteu els criteris ambientals per a l’atorgament del Distintiu de garantia de qualitat ambiental als establiments de restauració
</t>
  </si>
  <si>
    <t>Consulta la Guia per a la integració de la prevenció de les pèrdues i el malbaratament alimentaris als sistemes de gestió ambiental</t>
  </si>
  <si>
    <t>Prevenció de les pèrdues i el malbaratament alimentaris</t>
  </si>
  <si>
    <t>Els materials d'embalatge poden generar grans quantitats de residus si no es gestionen de manera sostenible. La Unió Europea ha implementat una nova legislació per reduir l'ús de plàstics d'un sol ús i prohibir-ne algunes aplicacions. A més, des de l'1 de gener, va entrar en vigor la Llei 7/2022 que imposa un nou impost sobre els envasos de plàstic no reutilitzables. Per reduir el seu ús i l'impacte dels materials d' embalatge, és important considerar alternatives sostenibles en prendre decisions de compra. Per exemple, en hotels es poden emprar contenidors de gel de dutxa i xampú recarregables en comptes de petites ampolles de plàstic d'un sol ús. També es poden aprofitar les opcions de compra a granel o treballar amb proveïdors que ofereixin opcions d'embalatge sostenible. Podeu trobar més informació i mesures per reduir l'ús de plàstics a la font adjunta.</t>
  </si>
  <si>
    <t xml:space="preserve">Consulteu la guia per reduir els plàstics
</t>
  </si>
  <si>
    <t xml:space="preserve">Consulteu la llei de plàstics d'un sol ús
</t>
  </si>
  <si>
    <t>El territori està experimentant sequeres més intenses i prolongades, cosa que ha portat a un estrès hídric a Catalunya. Per promoure la sostenibilitat, les empreses poden reduir el seu consum d'aigua mitjançant la instal·lació d'aixetes de baix cabal, vàters de descàrrega reduïda, sistemes de reg eficients i tecnologia de detecció de fuites, entre altres mesures. A més, poden exercir un paper important en la conscienciació dels seus clients sobre la importància de l'aigua com a recurs escàs. Per exemple, els hotels podrien oferir incentius econòmics, com ara descomptes, als hostes que utilitzin menys aigua.</t>
  </si>
  <si>
    <t xml:space="preserve">Consulteu informació sobre la gestió sostenible d'aigua en hoteleria
</t>
  </si>
  <si>
    <t>El sector de l'hoteleria depèn en gran mesura dels seus empleats, molts dels quals són temporals, per dur a terme les seves operacions. És essencial que es respectin els drets dels empleats i que se'ls ofereixin condicions laborals justes, segures i adequades, en línia amb l'Acord laboral d'àmbit estatal per al sector de l'Hoteleria (ALEH VI). No complir la legislació i no proporcionar als empleats condicions laborals adequades i justes pot donar lloc a problemes legals i afectar negativament l'acompliment en termes de sostenibilitat social.</t>
  </si>
  <si>
    <t xml:space="preserve">Consulteu l'Acord laboral estatal per a hoteleria VI
</t>
  </si>
  <si>
    <t>Una separació inadequada i insuficient dels residus pot obstaculitzar-ne el procés de reciclatge i reutilització, la qual cosa produeix majors impactes ambientals. Per tant, és fonamental dur a terme una separació adequada dels residus i parar una atenció especial a la separació correcta entre els residus orgànics i els no orgànics. La separació dels residus orgànics permet el seu compostatge, la qual cosa genera energia renovable (biogàs) i contribueix a la recuperació natural de la fertilitat del sòl. Altres tipus de residus que també és important separar inclouen paper i cartró, oli vegetal i envasos.</t>
  </si>
  <si>
    <t xml:space="preserve">Consulteu més informació sobre els beneficis del compostatge
</t>
  </si>
  <si>
    <t xml:space="preserve">Consulteu més informació sobre residus comercials
</t>
  </si>
  <si>
    <t>Els establiments d'hoteleria depenen d'un entorn net i agradable. Per tant, és essencial reduir els impactes contaminants que el negoci mateix pugui generar. En particular, els establiments que preparen aliments sovint emeten olors, fums i sorolls que poden afectar els veïns i les persones que transiten per la zona. La instal·lació de filtres per neutralitzar aquestes olors pot millorar l'experiència en l'entorn proper a l'establiment i promoure una millor qualitat de l'aire al seu interior. Això comporta beneficis per a la salut i per a l'experiència dels clients i empleats.</t>
  </si>
  <si>
    <t xml:space="preserve">Medi ambient - ecoetiqueta 
</t>
  </si>
  <si>
    <t>L'Etiqueta ecològica de la UE per a allotjaments turístics promou la sostenibilitat ambiental i reconeix els establiments que compleixen alts estàndards d'eficiència energètica, gestió de l'aigua, gestió de residus i ús responsable de recursos. Els allotjaments amb aquesta etiqueta adopten pràctiques que redueixen la seva petjada ecològica, com ara l'ús d'energia renovable i la minimització de productes químics danyosos. Això fomenta la consciència ambiental entre els viatgers i contribueix a la protecció a llarg termini de destinacions naturals i culturals. D'altra banda, a Catalunya hi ha un sistema voluntari d'etiquetatge ecològic per identificar productes i serveis respectuosos envers el medi ambient que s'anomena Distintiu de garantia de qualitat ambiental (DGQA). Els productes o serveis reconeguts per aquest Distintiu superen determinats requeriments de qualitat ambiental més enllà dels establerts com a obligatoris per la normativa vigent.</t>
  </si>
  <si>
    <t xml:space="preserve">Consulteu els requisits de l'Ecoetiqueta UE - allotjaments turístics
</t>
  </si>
  <si>
    <t>Consulteu informació sobre el DGQA per a allotjaments turístics</t>
  </si>
  <si>
    <t>Consulteu informació sobre el DGQA específic per a hoteleria amb servei de restauració o establiments que ofereixen menjar</t>
  </si>
  <si>
    <t>En aquesta secció, trobareu un enllaç que condueix a un lloc web específic que proporciona una àmplia gamma de pràctiques i consells d'utilitat general, especialment dissenyats per al sector de la hoteleria.</t>
  </si>
  <si>
    <t xml:space="preserve">Consulteu més informació sobre el sector de l'hoteleria </t>
  </si>
  <si>
    <t>La prevenció eficient de la legionel·losi és crucial per als hotels per evitar riscos de salut i impactes econòmics. La legionel·losi pot tenir greus repercussions per a hostes i personal, afectar la reputació i generar pèrdues financeres. Mitjançant pràctiques com la neteja regular dels sistemes d'aigua i la monitorització de la temperatura, els hotels poden reduir significativament aquests riscos. Aquesta dedicació a la prevenció no només protegeix la salut dels individus, sinó que també preserva la imatge del negoci a fi d'evitar possibles conseqüències legals i financeres. En definitiva, la prevenció de la legionel·la és una inversió essencial per mantenir un entorn segur i assegurar la continuïtat i integritat del negoci hoteler.</t>
  </si>
  <si>
    <t xml:space="preserve">Consulteu més informació sobre la legionel·losi
</t>
  </si>
  <si>
    <t>Medi Ambient - Guia per organitzar esdeveniments sostenibles</t>
  </si>
  <si>
    <t xml:space="preserve">Consulteu més informació sobre la Guia per organitzar esdeveniments sostenibles
</t>
  </si>
  <si>
    <t xml:space="preserve">Consulta més informació sobre Seguretat i manteniment de les àrees de treball
</t>
  </si>
  <si>
    <t xml:space="preserve">Consulta més informació sobre Equips i instal·lacions de treball
</t>
  </si>
  <si>
    <t xml:space="preserve">Consulta més informació sobre Mesures per a prevenir riscos laborals
</t>
  </si>
  <si>
    <t xml:space="preserve">Consulta més informació sobre Cartell queixa/reclamació/denúncia a disposició dels clients 
</t>
  </si>
  <si>
    <t>Consulta informació sobre el Conveni col·lectiu interprovincial del sector de la indústria d'hostaleria i turisme de Catalunya </t>
  </si>
  <si>
    <t xml:space="preserve">Consulta més informació sobre Informe de l’estudi de les condicions de treball del col·lectiu de cambrers i cambreres de pis a Catalunya
</t>
  </si>
  <si>
    <t xml:space="preserve">Consulta més informació sobre la Regió Mundial de Gastronomia 2025
</t>
  </si>
  <si>
    <t>Serveis IT</t>
  </si>
  <si>
    <t xml:space="preserve">Els serveis IT representen el codi CNAE 62, que inclou la programació, la consultoria i altres activitats relacionades amb la informàtica
</t>
  </si>
  <si>
    <t>- Petjada de carboni de l'empresa (abast 1, 2 i 3), incloent:
+ emissions relacionades amb combustibles fòssils
+ emissions relacionades amb electricitat adquirida 
+ emissions de gasos refrigerants
+ Altres emissions vinculades amb viatges, transport, materials utilitzats, etc. 
- Capacitat per a la generació d'electricitat renovable</t>
  </si>
  <si>
    <r>
      <t>- Consum d'electricitat total
- Consum d'energia per € d'ingressos
- Grau d'utilització dels servidors en termes de capacitat de processament 
- Eficiència energètica dels equips (per exemple, efectivitat de l'electricitat usada (</t>
    </r>
    <r>
      <rPr>
        <i/>
        <sz val="10"/>
        <rFont val="Arial"/>
        <family val="2"/>
      </rPr>
      <t>power usage efectiveness</t>
    </r>
    <r>
      <rPr>
        <sz val="10"/>
        <rFont val="Arial"/>
        <family val="2"/>
      </rPr>
      <t xml:space="preserve">) dels centres de dades)
- Sistemes de gestió energètica automàtics
</t>
    </r>
  </si>
  <si>
    <t xml:space="preserve">- Robustesa de la infraestructura de xarxa i protecció contra accessos no autoritzats
- Percentatge dels empleats que han rebut una formació de ciberseguretat
- Freqüència d'actualitzacions i pegats
- Tenir una política de ciberseguretat
- Avaluació de les mesures per protegir d'atacs DDoS
- Freqüència de proves de penetració 
- Protecció de dades sensibles i infraestructura IoT
</t>
  </si>
  <si>
    <t xml:space="preserve">- Percentatge d'empleats que han rebut una formació en protecció de dades 
- Encriptació de dades sensibles
- Acord de confidencialitat
- Polítiques de protecció de dades
- Compliment del Reglament general de protecció de dades 
- Tenir registre d'activitats de processament 
- Tenir sistemes de notificació i gestió de bretxes de seguretat
- Freqüència d'auditories internes de protecció de dades
</t>
  </si>
  <si>
    <t xml:space="preserve">- Taxa de retenció dels empleats
- Índex de satisfacció laboral
- Freqüència de retroalimentació d'empleats
- Grau de sentiment de pertinença i orgull de l'empresa
- Representació de gènere, edat i raça en diferents nivells de l'empresa
- Percentatge de promocions internes 
- Percentatge d'empleats que han rebut formació en diversitat i inclusió
- Enquestes de percepció d'inclusió
</t>
  </si>
  <si>
    <t xml:space="preserve">- Nivell de satisfacció laboral 
- Percepció d'equilibri treball-vida personal
- Accessibilitat a àrees de descans i oportunitats de relaxar-se durant la jornada laboral
- Quantitat d'hores extres
- Compliment de regulacions laborals
- Temps disponible per a consulta mèdica
- Càrrega de treball per empleats
- Percentatge de contractes fixos, variables i sense garantia d'hores
- Salaris i remuneració relatius al mercat laboral
- Satisfacció amb beneficis socials
</t>
  </si>
  <si>
    <t xml:space="preserve">- Percentatge dels principals proveïdors que han signat el codi de conducta de proveïdors
- Compliment del codi ètic de l'empresa
- Transparència de la comunicació
- Puntatge de sostenibilitat en avaluacions ESG (SASB, MSCI, Ecovadis)
</t>
  </si>
  <si>
    <t xml:space="preserve">Consulta més informació sobre la CSRD
</t>
  </si>
  <si>
    <t>L'eficiència energètica exerceix un paper fonamental en la reducció de les emissions de gasos amb efecte d'hivernacle de qualsevol empresa. Millorar l'eficiència energètica permet a una empresa generar valor amb un menor ús de recursos escassos. El document BREF de la Unió Europea proporciona orientació específica per assolir un ús eficient dels recursos i l'energia en diversos sectors i promou l'adopció de pràctiques sostenibles i alineades amb els objectius de la UE. Això no només beneficia la sostenibilitat econòmica de l'empresa, sinó que també contribueix a combatre el canvi climàtic.</t>
  </si>
  <si>
    <t>Consulteu informació sobre les ecoetiquetes de la UE</t>
  </si>
  <si>
    <t xml:space="preserve">Temes específics per a serveis IT
</t>
  </si>
  <si>
    <t>L'eficiència energètica és cabdal per a empreses de serveis IT a causa de la seva dependència de la tecnologia i la infraestructura informàtica, que comporta un alt consum energètic. Optimitzar l'eficiència energètica no només redueix els costos operatius, sinó que també disminueix l'empremta ambiental i enforteix la reputació corporativa en termes de sostenibilitat. Addicionalment, la importància de l'eficiència energètica brinda oportunitats per a empreses de serveis IT. La digitalització pot ser una eina poderosa per promoure l'eficiència energètica dels clients i millorar així el seu acompliment de sostenibilitat. Per millorar l'eficiència energètica de l'empresa mateixa, és important considerar l'eficiència dels equips informàtics, per exemple potencialment adquirint només els equips amb millor eficiència energètica en el mercat o amb certificacions com ENERGY STAR.</t>
  </si>
  <si>
    <t xml:space="preserve">Consulteu informació sobre eficiència energètica - IEA
</t>
  </si>
  <si>
    <t xml:space="preserve">La protecció de dades de clients és essencial per a les empreses de serveis professionals a causa de diverses raons crítiques. En primer lloc, garanteix la confiança del client en demostrar un compromís seriós envers la privacitat i la seguretat de la informació. A més, l'incompliment de les normatives de protecció de dades pot comportar sancions pecuniàries i danys a la reputació. La seguretat de dades també preserva la integritat de la relació client-professional i evita la fuita d'informació sensible. Complir les regulacions de privacitat, com el Reglament general de protecció de dades (RGPD) de la UE, és legalment obligatori i n'assegura la conformitat. En última instància, protegir les dades dels clients enforteix la lleialtat del client i manté la integritat ètica i professional de l'empresa.
</t>
  </si>
  <si>
    <t>Social - ciberseguretat</t>
  </si>
  <si>
    <t>La ciberseguretat és fonamental per a les empreses que presten serveis a causa de l'impacte en la integritat, confidencialitat i confiança que podria tenir. Aquestes empreses processen dades confidencials de clients i socis, i una fallada en la seguretat podria abocar a violacions de privacitat, robatori de dades o interrupció de serveis, cosa que malmet la seva reputació i relacions comercials. La pèrdua d'informació sensible pot portar a litigis legals i sancions pecuniàries. A més, la dependència de la tecnologia augmenta l'exposició a amenaces cibernètiques. Garantir mesures sòlides de ciberseguretat, com ara tallafocs, xifratge i formació del personal, protegeix la informació i preveu possibles pèrdues financeres i de confiança. En última instància, la ciberseguretat resguarda la continuïtat del negoci i la satisfacció del client i preserva la seva posició en un mercat competitiu.</t>
  </si>
  <si>
    <t xml:space="preserve">Consulteu informació sobre la ciberseguretat - Gencat
</t>
  </si>
  <si>
    <t xml:space="preserve">Consulteu informació sobre diversitat
</t>
  </si>
  <si>
    <t>Consulteu la ISO 30415:2021</t>
  </si>
  <si>
    <t>Social- Acord europeu per garantir un nivell alt i comú de ciberseguretat</t>
  </si>
  <si>
    <t xml:space="preserve">Consulta informació sobre l'Acord europeu per garantir un nivell alt i comú de ciberseguretat
</t>
  </si>
  <si>
    <t>Social- i bon govern -  Model de govern de les dades</t>
  </si>
  <si>
    <t>Social- Seguretat i qualitat del producte</t>
  </si>
  <si>
    <t>Informació proporcionada per l'Agència per la Competitivitat de l'Empresa de la Generalitat de Catalunya en relació a la transformció digital</t>
  </si>
  <si>
    <t xml:space="preserve">Consulta informació sobre TIC i transformació digital
</t>
  </si>
  <si>
    <t>Social- Protecció de dades</t>
  </si>
  <si>
    <t xml:space="preserve">Consulta informació sobre recomanacions de la Generalitat en relació a l'intel·ligència artificial
</t>
  </si>
  <si>
    <t>Aquest sector representa una varietat de serveis professionals amb codis CNAE 64, 65, 66, 69 i 70. Aquests codis CNAE inclouen activitats com ara empreses d'assegurances, serveis financers, consultoria, serveis jurídics, gestió i activitats de seus centrals.</t>
  </si>
  <si>
    <t xml:space="preserve">- Percentatge d' empleats que han rebut una formació en protecció de dades. 
- Encriptació de dades sensibles
- Acord de confidencialitat
- Polítiques de protecció de dades
- Compliment amb el Reglament General de Protecció de Dades. 
- Tenir registre d' activitats de processament 
- Tenir sistemes de notificació i gestió de bretxes de seguretat
- Freqüència d' auditories internes de protecció de dades.
</t>
  </si>
  <si>
    <t>- Disponibilitat de canals de denúncies o queixes sobre actes o activitats potencialment il·legals o no ètics 
- Nombre de denúncies sobre actes o activitats potencialment il·legals o no ètics
- Freqüència de reunions amb l'alta direcció sobre els riscos sistèmics de l'empresa
- Percentatge d'empleats que han rebut una formació sobre ètica a la feina
- Percentatge dels empleats que consideren que l'empresa compta amb una cultura segura i ètica</t>
  </si>
  <si>
    <t xml:space="preserve">- Percentatge dels principals proveïdors que han signat el codi de conducta de proveïdors
- Compliment del codi ètic de l'empresa
- Transparència de la comunicació
- Puntatge de sostenibilitat en avaluacions ESG (SASB, MSCI, Ecovadis)
</t>
  </si>
  <si>
    <t>Consulteu la Directiva (UE) 2022/2464 en relació amb la presentació d'informació sobre sostenibilitat per part de les empreses</t>
  </si>
  <si>
    <t xml:space="preserve">Consulta informació sobre les Guies bàsiques de protecció de dades
</t>
  </si>
  <si>
    <t xml:space="preserve">Consulta informació sobre l'Estratègia Catalana per a l'Ocupació de Qualitat 2022-2027
</t>
  </si>
  <si>
    <t>Temes específics per a serveis professionals</t>
  </si>
  <si>
    <t xml:space="preserve">Consulteu la CSRD - ESRS (estàndards)
</t>
  </si>
  <si>
    <t>Consulteu la Llei 11/2018</t>
  </si>
  <si>
    <t>Social - ciberseguridad</t>
  </si>
  <si>
    <t>La diversitat i inclusió són essencials per a les empreses de serveis. La diversitat en els equips aporta una gamma més àmplia de perspectives i enfocaments i enriqueix la creativitat i la innovació. A més, reflecteix millor una clientela diversa i millora la presa de decisions informades.
La inclusió, per la seva banda, crea un entorn on cada membre se sent valorat i respectat. Això fomenta la col·laboració, augmenta la moral i promou la retenció de talent. En un sector on la confiança del client és clau, la inclusió enforteix la relació i reputació.
Des d'una perspectiva estratègica, la diversitat i inclusió milloren la marca de l'empresa, atrauen inversors i clients que valoren la responsabilitat social i generen un avantatge competitiu.</t>
  </si>
  <si>
    <t>La inversió en la formació i el creixement dels empleats enforteix les seves habilitats tècniques i competències, la qual cosa millora la qualitat dels serveis oferts. A més, promou la innovació i l'adaptació a les demandes canviants del mercat. Per a l'empresa, el desenvolupament del capital humà porta en si mateix avantatges clau. Els empleats més capacitats poden aportar solucions més efectives i creatives, la qual cosa augmenta la satisfacció del client i reforça la reputació de l' empresa. A més, un equip motivat i compromès contribueix a la retenció de talent i a la construcció de relacions a llarg termini amb els clients. En última instància, el desenvolupament del capital humà impulsa el creixement sostenible i la competitivitat en la indústria de serveis professionals.</t>
  </si>
  <si>
    <t>Consulteu informació sobre el Distintiu de garantia de qualitat ambiental específic per a edificis d'ús d'oficines</t>
  </si>
  <si>
    <t>Consulteu informació sobre el Distintiu de garantia de qualitat ambiental específic per a xarxes d'oficines amb atenció al públic</t>
  </si>
  <si>
    <t>Consulteu informació sobre el Distintiu de garantia de qualitat ambiental específic per a establiments d'acabat fotogràfic</t>
  </si>
  <si>
    <t xml:space="preserve">- Avaluació dels riscos climàtics potencials relacionats amb el projecte
- Probabilitat de ser afectat per impactes físics del canvi climàtic (dins de diversos períodes de temps)
- Mesures implementades per mitigar els riscos d'impactes físics del canvi climàtic
</t>
  </si>
  <si>
    <t xml:space="preserve">- Cabals de les aixetes i les instal·lacions sanitàries
- Captació d'aigües pluvials
- Taxa de reutilització de les aigües grises
- Eficiència de sistemes de reg
- Incorporació de tecnologies de reciclatge d'aigua
</t>
  </si>
  <si>
    <t xml:space="preserve">- Compliment de les regulacions i normatives de seguretat de les propietats en venda/lloguer
- Percentatge de propietats inspeccionades i certificades per assegurar la seva qualitat i seguretat
- Transparència i claredat en la comunicació relacionada amb la propietat
- % d'edificis amb mesures de protecció adequades (alarmes, sistemes de seguretat, etc.)
</t>
  </si>
  <si>
    <t xml:space="preserve">- Percentatge d'empleats que han rebut una formació en protecció de dades 
- Encriptació de dades sensibles
- Polítiques de protecció de dades
- Compliment del Reglament general de protecció de dades 
- Procés per obtenir i gestionar el consentiment explícit dels clients per al processament de les seves dades personals
- Tenir registre d'activitats de processament 
- Tenir sistemes de notificació i gestió de bretxes de seguretat
- Freqüència d'auditories internes de protecció de dades
</t>
  </si>
  <si>
    <t xml:space="preserve">Aquesta estratègia dona suport a les empreses en els processos d'intermediació per a la contractació, així com en programes ocupacionals i subvencions. Això pot incloure suport al sector immobiliari per desenvolupar el capital humà i millorar les competències professionals dels treballadors en aquest sector​ </t>
  </si>
  <si>
    <t xml:space="preserve">Temes específics per a immobilàries
</t>
  </si>
  <si>
    <t>El segell d'eficiència energètica és una etiqueta que ajuda els possibles clients o ocupants a identificar el consum energètic de l'edifici. És important centrar-se en aquells edificis amb un segell d'eficiència energètica d'A o més eficient per reduir el consum d'energia i, per tant, els costos energètics. Es recomana avaluar les oportunitats de millorar l'eficiència energètica dels edificis sota gestió, considerant que un millor segell d'eficiència energètica té diversos avantatges, com una millor posició en el mercat o l'accés a fons europeus en complir els requisits de la taxonomia de la UE.</t>
  </si>
  <si>
    <t xml:space="preserve">Consulteu el segell d'eficiència energètica
</t>
  </si>
  <si>
    <t>L'Agenda dels pobles i les ciutats de Catalunya 2050 és un marc estratègic que estableix una visió a llarg termini per al desenvolupament sostenible de les ciutats i pobles a Catalunya fins a l'any 2050. Aquesta Agenda estableix objectius de construcció sostenible, eficiència energètica, ús de materials sostenibles i reciclables, implementació de tecnologies digitals i mobilitat sostenible. Aquelles empreses que s'ajustin a l'Agenda es posicionaran millor en el mercat i potencialment podran obtenir finançament més fàcilment.</t>
  </si>
  <si>
    <t xml:space="preserve">Consulteu l'Agenda dels pobles i ciutats Catalunya 2050
</t>
  </si>
  <si>
    <t>Les certificacions BREEAM i LEED són reconegudes internacionalment com a estàndards d'edificacions sostenibles. Aquests marcs contenen requisits mediambientals relacionats amb eficiència energètica, emissions, gestió d'aigua, gestió de materials i circularitat, entre d'altres. Addicionalment, contenen un component social que exigeix la seguretat de l'edifici per a la salut dels ocupants, accessibilitat, espais verds, una qualitat mínima de l'edificació i inclusivitat, entre d'altres. Aquestes certificacions són importants per demostrar el compromís d' una empresa amb la sostenibilitat en la construcció i poden millorar la reputació i el valor de mercat dels edificis certificats.</t>
  </si>
  <si>
    <t>Consulteu BREEAM</t>
  </si>
  <si>
    <t>Consulteu LEED</t>
  </si>
  <si>
    <t>Consulteu GBCE.ES</t>
  </si>
  <si>
    <t>Bon govern - Pla territorial sectorial d'habitatge</t>
  </si>
  <si>
    <t>El Pla territorial sectorial d’habitatge ha de constituir el marc orientador per a l’aplicació, a tot el territori de Catalunya, de les polítiques d’habitatge que estableix la Llei 18/2007, de 28 de desembre, del dret a l’habitatge.</t>
  </si>
  <si>
    <t xml:space="preserve">Consulta informació sobre el Pla Territorial Sectorial d'habitatge
</t>
  </si>
  <si>
    <t>Aquest indústria és una ampliació de CNAE 73, activitats de publicitat i estudis de mercat.</t>
  </si>
  <si>
    <t xml:space="preserve">- Petjada de carboni de l'empresa (abast 1, 2 i 3), incloent:
+ emissions relacionades amb combustibles fòssils
+ emissions relacionades amb electricitat adquirida 
+ emissions de gasos refrigerants
+ Altres emissions vinculades amb viatges, transport, materials utilitzats, etc. 
- Capacitat per a la generació d'electricitat renovable
</t>
  </si>
  <si>
    <t xml:space="preserve">- % dels productes en venda que compleixen la legislació d'etiquetes
- Nombre de denúncies de pràctiques de publicitat, venda o etiquetatge enganyós
- Nombre d'instàncies on l'empresa ha hagut d'adaptar la publicitat d'un producte per informació falsa
</t>
  </si>
  <si>
    <t xml:space="preserve">- Taxa de retenció dels empleats
- Índex de satisfacció laboral
- Freqüència de retroalimentació d'empleats
- Grau de sentiment de pertinença i orgull envers l'empresa
- Representació de gènere, edat i raça en diferents nivells de l'empresa
- Percentatge de promocions internes 
- Percentatge d'empleats que han rebut formació en diversitat i inclusió
- Diversitat en projectes i equips
- Enquestes de percepció d'inclusió
</t>
  </si>
  <si>
    <t>- Robustesa de la infraestructura de xarxa i protecció contra accessos no autoritzats
- Percentatge dels empleats que han rebut una formació de ciberseguretat
- Freqüència d'actualitzacions i pegats
- Tenir una política de ciberseguretat
- Avaluació de les mesures per protegir d'atacs DDoS
- Freqüència de proves de penetració 
- Protecció de dades sensibles i infraestructura IoT</t>
  </si>
  <si>
    <t>- Recopilació de dades de consumidors només amb el seu consentiment explicit 
- Mantenir un alt nivell de transparència en la informació proporcionada al consumidor
- Compliment de la llei de protecció de dades 
- Nombre de casos de publicitat enganyosa o falsa 
- Mesures preses contra la publicitat enganyosa o falsa
- Transparència en el patrocini i les associacions
- Respecte de la propietat intel·lectual i copyrights
- No dirigir campanyes de màrqueting de productes danyosos per a persones vulnerables</t>
  </si>
  <si>
    <t xml:space="preserve">- Grau de compliment de les legislacions vigents respecte de la privacitat i transparència
- Adaptació a les noves xarxes socials i plataformes digitals i els seus reglaments per a publicitat i màrqueting
- Percentatge de volum de negocis procedent de productes sostenibles
- Meta per a volum de negocis obtingut de publicitat per a empreses responsables i/o productes/serveis sostenibles
</t>
  </si>
  <si>
    <t>Consulteu informació sobre les persones de la UE</t>
  </si>
  <si>
    <t xml:space="preserve">Temes específics per a publicitat i màrqueting
</t>
  </si>
  <si>
    <t>Consulteu la Directiva 2005/29/EC</t>
  </si>
  <si>
    <t xml:space="preserve">Consulteu la proposta de Directiva UE sobre substanciació i comunicació de reclams ambientals explícits
</t>
  </si>
  <si>
    <t>Un dels principals impactes ambientals en el sector prové de l'ús d'electricitat en les operacions. Per reduir les emissions de carboni, és fonamental considerar opcions perquè l'empresa funcioni amb energia renovable. Instal·lar capacitat d'energia renovable pròpia pot ser una opció efectiva per assegurar un subministrament estable d'energia renovable a un cost controlat. Alternativament, l'empresa podria optar per comprar electricitat renovable a proveïdors de serveis públics a la xarxa elèctrica.</t>
  </si>
  <si>
    <t xml:space="preserve">Consulteu informació sobre l'energia renovable
</t>
  </si>
  <si>
    <t xml:space="preserve">Consulteu informació sobre la diversitat i inclusió
</t>
  </si>
  <si>
    <t>Invertir en la formació i el desenvolupament dels empleats millora les seves competències i creativitat, la qual cosa es tradueix en campanyes publicitàries més efectives i pertinents per als clients. A més, l'aprenentatge continu facilita l'adaptació a les canviants dinàmiques del mercat i les noves tecnologies.
Per a l'empresa, el desenvolupament del capital humà comporta beneficis significatius. Equipa els empleats amb habilitats actualitzades, la qual cosa augmenta l'eficiència operativa i la qualitat dels serveis, cosa que contribueix a la satisfacció del client i a la retenció. A més, una força laboral capacitada esdevé un actiu sostenible per al futur, capaç d'abordar desafiaments canviants i mantenir la rellevància en un entorn competitiu i dinàmic.</t>
  </si>
  <si>
    <t>Social - Tria educativa</t>
  </si>
  <si>
    <t xml:space="preserve">Consulta més informació sobre Tria educativa - Màrqueting
</t>
  </si>
  <si>
    <t xml:space="preserve">Consulta més informació sobre Iniciatives de la Generalitat per fomentar una publicitat amb perspectiva de gènere
</t>
  </si>
  <si>
    <t>Consulta més informació sobre la Instrucció sobre el Catàleg de Publicitat Activa</t>
  </si>
  <si>
    <t>Bon govern - Resiliència del model de negoci</t>
  </si>
  <si>
    <t xml:space="preserve">Consulta més informació sobre el Hub del Màrqueting i la Comunicació de Catalunya
</t>
  </si>
  <si>
    <t>Serveis d'ocupació</t>
  </si>
  <si>
    <t>- Temps de col·locació
- Percentatge de col·locacions exitoses
- Satisfacció amb el procés de col·locació
- Nivell de correspondència d'ocupacions
- Qualitat de les empreses ocupadores
- Taxa de retenció en l'ocupació
- Causa de rotació laboral</t>
  </si>
  <si>
    <t>Vegeu informació sobre la ISO 14001</t>
  </si>
  <si>
    <t>La inversió en la formació i el creixement dels empleats enforteix les seves habilitats tècniques i competències, la qual cosa millora la qualitat dels serveis oferts. A més, promou la innovació i l'adaptació a les canviants demandes del mercat. Per a l'empresa, el desenvolupament del capital humà porta en si mateix avantatges clau. Els empleats més capacitats poden aportar solucions més efectives i creatives, la qual cosa augmenta la satisfacció del client i reforça la reputació de l'empresa. A més, un equip motivat i compromès contribueix a la retenció de talent i a la construcció de relacions a llarg termini amb els clients. En última instància, el desenvolupament del capital humà impulsa el creixement sostenible i la competitivitat en la indústria de serveis professionals.</t>
  </si>
  <si>
    <t xml:space="preserve">Temes específics per a serveis de l'ocupació
</t>
  </si>
  <si>
    <t>La protecció de dades de clients és essencial per a les empreses que ofereixen serveis d'ocupació a causa de diverses raons clau. Primer, complir regulacions com el RGPD és important per evitar sancions pecuniàries i jurídiques i preservar així la reputació i estabilitat financera. Segon, resguardar la informació personal i confidencial dels candidats i empleats construeix confiança i credibilitat en l'empresa. Tercer, l'incompliment de regulacions de privacitat pot comportar sancions legals i danyar la reputació de l'organització. Quart, mantenir la seguretat de les dades minimitza el risc de robatori d'identitat i frau, la qual cosa protegeix tant els individus com l'empresa. En resum, la protecció de dades no només és una obligació legal, sinó també una pràctica fonamental per a la integritat empresarial i la satisfacció del client en el sector de serveis d'ocupació.</t>
  </si>
  <si>
    <t>Per a una empresa de serveis d'ocupació, desenvolupar el seu capital humà és essencial per prestar un servei excepcional als clients. Empleats ben capacitats i motivats poden entendre les necessitats úniques dels clients i proporcionar solucions efectives. Això porta a una millor selecció de candidats, una major qualitat en l'emparellament laboral i una optimització dels processos de contractació. Els clients experimenten un servei més ràpid i eficient, la qual cosa millora la seva satisfacció i fomenta relacions a llarg termini. A més, un equip capacitat pot assessorar els clients sobre tendències laborals, regulacions i millors pràctiques, cosa que agrega un valor estratègic. En definitiva, el desenvolupament del capital humà no només eleva la qualitat del servei, sinó que també posiciona l'empresa com un soci fiable i expert en la gestió de talent per als seus clients.</t>
  </si>
  <si>
    <t xml:space="preserve">Accediu al cercador de cursos, especialitats i centres de formació - SOC
</t>
  </si>
  <si>
    <t>La diversitat i inclusió són fonamentals per a una empresa que presta serveis d'ocupació per diverses raons. En primer lloc, fomenten un ambient laboral enriquidor en abraçar perspectives i experiències diverses, la qual cosa impulsa la creativitat i la innovació. A més, reflecteixen la societat actual i promouen l'equitat, la qual cosa augmenta la moral i la satisfacció dels empleats i n'enforteix la retenció i el compromís.
En el context dels serveis d'ocupació, la diversitat i inclusió també ofereixen avantatges significatius per als clients. En tenir un planter divers de candidats, l'empresa pot desplegar opcions més riques i adequades per a les necessitats específiques de cada client. La inclusió de persones de diferents orígens culturals i habilitats millora l'adaptabilitat i la resiliència de les empreses enfront de desafiaments i necessitats del mercat canviants.
A més, la diversitat en l'equip de l'empresa de serveis d'ocupació permet comprendre millor les necessitats d'una força laboral diversa i facilita un millor assessorament als clients sobre polítiques i pràctiques inclusives. Aquesta experiència i coneixement enriquit enforteixen la relació entre l'empresa i els seus clients en oferir solucions adaptades i rellevants.</t>
  </si>
  <si>
    <t xml:space="preserve">Consultar informació sobre el Pla de Desenvolupament de Polítiques d’Ocupació de Catalunya - PDPO
</t>
  </si>
  <si>
    <t xml:space="preserve">Aquest sector representa el codi CNAE 85, educació. Això inclou escoles, universitats, tutors personals, instituts d'idiomes i altres serveis relacionats amb l'educació.
</t>
  </si>
  <si>
    <t xml:space="preserve">- Percentatge d'empleats que han rebut una formació en protecció de dades 
- Encriptació de dades sensibles
- Polítiques de protecció de dades
- Compliment del Reglament general de protecció de dades 
- Procés per obtenir i gestionar el consentiment explicit dels clients per al processament de les seves dades personals
- Tenir sistemes de notificació i gestió de bretxes de seguretat
- Freqüència d'auditories internes de protecció de dades
</t>
  </si>
  <si>
    <t xml:space="preserve">- Enquesta sobre la percepció de seguretat, comoditat i pertinença dels estudiants
- Enquesta de satisfacció sobre el nivell d'educació als estudiants i els pares
- Resultats acadèmics comparats amb anys anteriors i altres organitzacions educatives comparables
- Absentisme dels estudiants 
- Grau de personalització de l'educació
- Disponibilitat dels materials i eines necessàries per a l'educació efectiva
</t>
  </si>
  <si>
    <t xml:space="preserve">- Accessibilitat de les instal·lacions per a persones amb discapacitat
- Accessibilitat digital per a persones amb discapacitats visuals, auditives o motores
- Format de materials accessibles (braille, text gran, versions audibles, etc.) 
- Suport per a estudiants amb discapacitat
- Variació de costos dels diferents programes d'estudis i nivells educatius
- Disponibilitat d'ajuts financers com ara beques i subsidis
- Plans de pagament flexibles
</t>
  </si>
  <si>
    <t>- Taxa de retenció dels empleats
- Índex de satisfacció laboral
- Freqüència de retroalimentació d'empleats
- Grau de sentiment de pertinença i orgull de l'empresa
- Representació de gènere, edat i raça en diferents nivells de l'empresa
- Percentatge de promocions internes 
- Percentatge d'empleats que han rebut formació en diversitat i inclusió
- Enquestes de percepció d'inclusió</t>
  </si>
  <si>
    <t xml:space="preserve">- Divulgació d'informació transparent sobre els serveis oferts
- Transparència sobre els costos dels serveis (sense ocultar costos)
- Divulgació d'informació sobre les experiències de l'alumnat
</t>
  </si>
  <si>
    <t>Bon govern - control de qualitat</t>
  </si>
  <si>
    <t>Consulteu un exemple d'una política de protecció de dades</t>
  </si>
  <si>
    <t xml:space="preserve">Temes específics per a l'educació
</t>
  </si>
  <si>
    <t>Consulteu l'Agenda 2030 Catalunya</t>
  </si>
  <si>
    <t xml:space="preserve">Consulteu informació sobre l'educació per a la sostenibilitat
</t>
  </si>
  <si>
    <t xml:space="preserve">Consulteu informació sobre ecoescoles
</t>
  </si>
  <si>
    <t xml:space="preserve">Consulteu informació sobre energies renovables
</t>
  </si>
  <si>
    <t>El Programa Salut i Escola (PSiE), impulsat pel Departament d'Educació i el Departament de Salut, té la finalitat de millorar la salut dels adolescents mitjançant accions que promouen hàbits saludables, prevenen situacions de risc i ajuden a detectar precoçment problemes relacionats amb la salut.
El centre educatiu, com a espai natural per a l'aprenentatge, l'educació i la formació integral de la persona, és també el lloc on es poden manifestar els signes d'alerta sobre problemes de salut, en els quals una detecció precoç pot ser la primera acció per iniciar un procés d'ajuda i intervenció adequades. El Programa Salut i Escola (PSiE) té el propòsit de potenciar la coordinació dels centres docents, els serveis educatius i els serveis sanitaris en accions de promoció de la salut i d'atenció a l'alumnat.</t>
  </si>
  <si>
    <t xml:space="preserve">Consulteu més informació sobre el Programa Salut i Escola
</t>
  </si>
  <si>
    <t>Des del Departament d'Educació s'ha iniciat el programa de benestar emocional "Benestar per estar bé" que es dirigeix als equips directius, tutors, docents i altres professionals del cicle superior d'educació primària, ESO i ensenyaments postobligatoris.</t>
  </si>
  <si>
    <t xml:space="preserve">Consulta més informació sobre el Programa de benestar emocional "Benestar per estar bé"
</t>
  </si>
  <si>
    <t xml:space="preserve">Consulta més informació sobre Tria educativa
</t>
  </si>
  <si>
    <t>Bon govern- Competència responsable (subvencions)</t>
  </si>
  <si>
    <t xml:space="preserve">Consulta més informació sobre el Pla Estratègic de Subvencions del Departament d'Educació 2022-2025
</t>
  </si>
  <si>
    <t xml:space="preserve">- Consum total d'energia (electricitat, gas, etc.) en les instal·lacions i activitats sanitàries
- Consum d'energia per metre quadrat o llit
- Consum d'energia per servei prestat
- Consum energètic d'equips mèdics i tecnològics utilitzats
- Eficiència de la il·luminació a les instal·lacions
- Ús de sensors automàtics per reduir el consum energètic
</t>
  </si>
  <si>
    <t xml:space="preserve">- Volum total de residus perillosos
- Generació de residus per tipus (químic, biològic, radioactiu, embalatge, orgànics, etc.)
- Generació de residus per àrea / activitat
- Reducció en generació de residus
- Quantitat de residu per destinació final 
- Separació adequada dels residus generats
- Reducció de la descàrrega de femta amb residus de medicaments a la xarxa d'aigua municipal
</t>
  </si>
  <si>
    <t xml:space="preserve">- Freqüència i gravetat d'errors en procediments
- Nombre de casos d'incompliment dels protocols quirúrgics
- Taxa de diagnòstics incorrectes
- Taxa d'infeccions nosocomials
- Compliment dels protocols d'higiene
- Freqüència i gravetat d'errors de medicació
- Mesures preses per prevenir el tromboembolisme venós
- Compliment de l'equip de protecció personal
- Compliment de totes les legislacions vigents
</t>
  </si>
  <si>
    <t xml:space="preserve">- Temps d' espera mitjana
- Temps d' espera màxim 
- Accés a cites mèdiques
- Disponibilitat de les pròpies dades de salut del pacient
- Grau de millores en la salut del pacient
- Grau en què els pacients segueixen les recomanacions de tractament
- Comoditat de l' entorn 
- Percepció de suport emocional 
- Satisfacció del client
</t>
  </si>
  <si>
    <t xml:space="preserve">- Costos mitjans de consultes mèdiques en diferents especialitzacions
- Costos de tractaments específics 
- Accessibilitat dels medicaments receptats
- Taxa de cobertura d'assegurança mèdica
- Distància mitjana que ha de recórrer el pacient
- Accessibilitat per a persones amb discapacitat
- Capacitat d'estacionament
- Proximitat de transport públic 
- Idiomes de comunicació disponibles
- Horaris d'atenció 
- Disponibilitat de teleconsultes
</t>
  </si>
  <si>
    <t xml:space="preserve">- Taxa de malalties laborals
- Taxa de lesions amb temps perdut 
- Compliment dels equips de protecció personal (EPP)
- Compliment dels protocols d'higiene
- Avaluació de l'ergonomia 
- Polítiques de seguretat en l'entorn laboral
- Efectivitat de mesures per prevenir l'exposició a patògens i malalties infeccioses
- Compliment dels protocols del maneig segur de substàncies químiques
- Disponibilitat d'equip de primers auxilis i DEA
</t>
  </si>
  <si>
    <t xml:space="preserve">- Nivell de satisfacció laboral 
- Percepció d'equilibri treball-vida personal
- Accessibilitat a àrees de descans i oportunitats de relaxar-se durant la jornada laboral
- Quantitat d'hores extres
- Compliment de regulacions laborals
- Temps disponible per a consulta mèdica
- Càrrega de treball per empleats
- Percentatge de contractes fixos, variables i sense garantia d'hores
- Salaris i remuneració relatius al mercat laboral
- Satisfacció pels beneficis socials
</t>
  </si>
  <si>
    <t>- Taxa de retenció dels empleats
- Índex de satisfacció laboral
- Freqüència de retroalimentació d'empleats
- Grau de sentiment de pertinença i orgull de l'empresa
- Representació de gènere, edat i raça en diferents nivells de l'empresa
- Percentatge de promocions internes 
- Percentatge d'empleats que han rebut formació en diversitat i inclusió
- Diversitat en equips
- Enquestes de percepció d'inclusió</t>
  </si>
  <si>
    <t xml:space="preserve"> - Nombre d'incidents crítics reportats
- Procediments d'avaluació de riscos
- Efectivitat de les mesures preventives
- Taxa de recurrència d'incidents
- Taxa de participació i rendiment del personal en simulacres d'incidents crítics
- Efectivitat i rapidesa de la comunicació interna i externa
- Implementació d'accions correctives i la seva efectivitat
</t>
  </si>
  <si>
    <t>- Efectivitat dels sistemes de gestió de riscos sistèmics
- Participació de l'alta direcció en la gestió de riscos
- Percepció dels empleats sobre la cultura de seguretat i la seva disposició d'informar sobre riscos
- Existència i eficàcia dels plans de resposta als riscos sistèmics
- Percentatge del personal capacitat en la identificació i el maneig de riscos sistèmics</t>
  </si>
  <si>
    <t>Consulteu más informació sobre l'economia circular (Fundació Ellen McArthur)</t>
  </si>
  <si>
    <r>
      <t xml:space="preserve">Consulteu más informació sobre el certificat </t>
    </r>
    <r>
      <rPr>
        <i/>
        <u/>
        <sz val="10"/>
        <color theme="10"/>
        <rFont val="Arial"/>
        <family val="2"/>
      </rPr>
      <t>Cradle to Cradle</t>
    </r>
  </si>
  <si>
    <r>
      <t xml:space="preserve">Consulteu informació sobre el </t>
    </r>
    <r>
      <rPr>
        <i/>
        <u/>
        <sz val="10"/>
        <color theme="10"/>
        <rFont val="Arial"/>
        <family val="2"/>
      </rPr>
      <t>Sustainable Packaging Coalition</t>
    </r>
  </si>
  <si>
    <t xml:space="preserve">Consulteu informació sobre la Directiva de plàstics d'un sol ús
</t>
  </si>
  <si>
    <t>Temes específics per al sector sanitari</t>
  </si>
  <si>
    <t>General - Guia de sostenibilitat per al sector de la salut i social</t>
  </si>
  <si>
    <t>La Guia de sostenibilitat per al sector de la salut i social brinda suport a les organitzacions del sector sanitari en l'anàlisi de qüestions importants per a la sostenibilitat. A més, inclou passos per definir l'estratègia de sostenibilitat de l'organització, basant-se en els resultats de les anàlisis realitzades en passos anteriors. Aquesta Guia, desenvolupada pel Consorci de Salut i Social de Catalunya, és un bon punt de partida per a les organitzacions del sector sanitari que desitgin iniciar el seu camí cap a la sostenibilitat. Aborda una varietat de temes com ara les emissions de gasos amb efecte d'hivernacle, la gestió de residus, el consum d'aigua i el benestar dels clients.</t>
  </si>
  <si>
    <t xml:space="preserve">Consulteu informació sobre el Consorci de Salut i Social de Catalunya
</t>
  </si>
  <si>
    <t>La protecció de dades de pacients és un tema crucial per a les organitzacions sanitàries per diverses raons. En primer lloc, la informació mèdica és extremadament sensible i personal, ja que conté detalls íntims sobre la salut i la vida dels pacients. A més, amb l'avenç de la tecnologia i la digitalització dels registres mèdics, hi ha un major risc de ciberatacs i bretxes de seguretat. La pèrdua de dades o el seu mal ús poden derivar en robatoris d'identitat, fraus mèdics i danys a la reputació de l'organització.
Complir regulacions de protecció de dades com el Reglament general de protecció de dades (RGPD) de la Unió Europea és essencial per evitar sancions pecuniàries i legals. Així mateix, una sòlida protecció de dades promou la confiança dels pacients i enforteix la reputació de l'organització.</t>
  </si>
  <si>
    <t xml:space="preserve">Consulteu la Guia de protecció de dades per a pacients i persones usuàries dels serveis de salut
</t>
  </si>
  <si>
    <t>Amb l'objectiu d'avaluar les emissions de carboni i identificar potencials millores per reduir-les, els centres sanitaris poden dur a terme un càlcul de la seva petjada de carboni. El Ministeri de Sanitat ha desenvolupat un document que ajuda els centres en aquest procés en permetre calcular les emissions d'abast 1, 2 i 3 de la petjada de carboni. Comprendre les fonts d'emissions és fonamental per a qualsevol organització, ja que permet identificar i prioritzar les mesures que es poden prendre per reduir la petjada de carboni i millorar l'acompliment sostenible de l'organització.</t>
  </si>
  <si>
    <t xml:space="preserve">Consulteu informació sobre la petjada de carboni - Ministeri de Sanitat
</t>
  </si>
  <si>
    <t>Medi ambient - diversos (certificacions de sostenibilitat dels edificis com ara BREEAM i LEED)</t>
  </si>
  <si>
    <t>Les certificacions BREEAM i LEED són àmpliament reconegudes a escala internacional com a estàndards d'edificacions sostenibles. Aquests marcs estableixen requisits ambientals que aborden l'eficiència energètica, les emissions, la gestió de l' aigua, la gestió de materials, la circularitat i altres aspectes. A més, inclouen un component social que se centra en la seguretat dels ocupants de l'edifici, l'accessibilitat, la creació d'espais verds, la qualitat de l'edificació i la inclusivitat, entre altres aspectes.
Obtenir una certificació d'edificació sostenible per a un centre de salut pot contribuir significativament a la reducció dels impactes mediambientals des de les etapes inicials de disseny i planificació. Els requisits de la certificació poden generar beneficis econòmics en reduir costos operatius a llarg termini i guiar el disseny de l'edifici envers pràctiques més sostenibles.</t>
  </si>
  <si>
    <t xml:space="preserve">Consulteu informació sobre LEED - aplicació a projectes sanitaris
</t>
  </si>
  <si>
    <t xml:space="preserve">Consulteu informació sobre residus sanitaris - Gencat
</t>
  </si>
  <si>
    <t xml:space="preserve">Medi ambient - eficiència energètica i renovables
</t>
  </si>
  <si>
    <t>Consulteu informació sobre energies renovables</t>
  </si>
  <si>
    <t>Consulteu informació sobre eficiència energètica i energies renovables a Catalunya</t>
  </si>
  <si>
    <t>Consulteu el Reial decret 552/2019 - gasos refrigerants</t>
  </si>
  <si>
    <t>La gestió sostenible de l'aigua en centres sanitaris és essencial per diverses raons. Aquests centres utilitzen grans volums d'aigua per a procediments mèdics, neteja i serveis. L'escassetat d'aigua i la consciència ambiental requereixen un ús eficient. A més, l'aigua en aquests centres pot estar contaminada, cosa que posa en risc pacients i personal. Sistemes de reciclatge i tractament redueixen la demanda i la contaminació i milloren la sostenibilitat i la seguretat. Una gestió responsable de l'aigua en instal·lacions mèdiques millora l'eficiència i contribueix a la seguretat i sostenibilitat del sector de la salut.</t>
  </si>
  <si>
    <r>
      <t>Consulteu la llista de comprovació (</t>
    </r>
    <r>
      <rPr>
        <i/>
        <u/>
        <sz val="10"/>
        <color theme="10"/>
        <rFont val="Arial"/>
        <family val="2"/>
      </rPr>
      <t>checklist</t>
    </r>
    <r>
      <rPr>
        <u/>
        <sz val="10"/>
        <color theme="10"/>
        <rFont val="Arial"/>
        <family val="2"/>
      </rPr>
      <t xml:space="preserve">) per a la gestió de l'aigua - CDC
</t>
    </r>
  </si>
  <si>
    <t xml:space="preserve">Consulteu els consells per reduir el consum d'aigua en centres sanitaris
</t>
  </si>
  <si>
    <t xml:space="preserve">Social - Condicions laborals </t>
  </si>
  <si>
    <t xml:space="preserve">Consulta informació sobre la salut i el benestar dels professionals sanitaris en l’entorn laboral Guia de bones pràctiques per a institucions, equips i professionals
</t>
  </si>
  <si>
    <t xml:space="preserve">Consulta informació sobre el Coronavirus SARS-CoV-2
</t>
  </si>
  <si>
    <t>Social - Assequibilitat i accés als serveis</t>
  </si>
  <si>
    <t xml:space="preserve">Consulta informació sobre com s'accedeix a l'assistència sanitària
</t>
  </si>
  <si>
    <t xml:space="preserve">Bon govern - Pla Estratègic pels Serveis Socials 2020-2024 </t>
  </si>
  <si>
    <t xml:space="preserve">Consulta informació sobre el Pla Estratègic de Recerca i Innovació en Salut 
</t>
  </si>
  <si>
    <t xml:space="preserve">Consulta informació sobre el Pla Estratègic de Recerca i Innovació en Salut 2022-2027 
</t>
  </si>
  <si>
    <t>Bon govern - Estratègia Catalana per l'Ocupació de Qualitat</t>
  </si>
  <si>
    <t>Social - Estratègia Catalana de Seguretat i Salut Laboral</t>
  </si>
  <si>
    <t>Benestar del client - Programa de benestar emocional "Benestar per estar bé"</t>
  </si>
  <si>
    <t>Desenvolupament de capital humà - Tria educativa</t>
  </si>
  <si>
    <t>Social - Condicions laborals</t>
  </si>
  <si>
    <t>Social - Salut i Seguretat</t>
  </si>
  <si>
    <t>Social - Benestar del client</t>
  </si>
  <si>
    <t>Social i bon govern - condicions laborals</t>
  </si>
  <si>
    <t>Social - Oportunitats de nutrició i salut</t>
  </si>
  <si>
    <t>Social - Compromís dels empleats, diversitat i inclusió</t>
  </si>
  <si>
    <t>Social - Model de govern de les dades</t>
  </si>
  <si>
    <t>Social - Reglament de Protecció de dades</t>
  </si>
  <si>
    <t>- Taxa d'accidentalitat (per x empleats o per x hores treballades)
- Índex de freqüència d'accidents (i canvis respecte d'altres anys)
- Índex de gravetat d'accidents
- Taxa de malalties laborals
- Participació en formacions de seguretat
- Taxa de compliment de procediments de seguretat 
- Nombre d'inspeccions de seguretat realitzades 
- Freqüència d'avaluació dels riscos laborals</t>
  </si>
  <si>
    <t>- Hores de formació per empleat
- % de promocions internes i de lideratge intern
- Avaluació de l'acompliment personalitzat
- Participació en programes de desenvolupament professional 
- Diversitat i inclusió (representació de minories) 
- % d'empleats amb plans de desenvolupament personalitzats
- Taxa de retenció d'empleats</t>
  </si>
  <si>
    <t xml:space="preserve"> - Mitjana d'hores setmanals treballades per empleat
- Mitjana de salaris dels empleats en comparació amb el salari mínim i els estàndards de la indústria
- Oferta de beneficis addicionals, com ara assegurança de salut, assegurança de vida, etc.
- Disponibilitat i accés a serveis mèdics per als empleats i les seves famílies
- Percentatge d'empleats que reben formació i oportunitats de desenvolupament professional
- Enquestes de satisfacció laboral per mesurar el clima laboral i la satisfacció dels empleats
- Mesures implementades per facilitar l'equilibri entre la vida laboral i personal dels empleats
- Taxa de rotació d'empleats a l'empresa
</t>
  </si>
  <si>
    <t>Mantenir bones condicions laborals és fonamental per a una empresa per diverses raons. En primer lloc, millora la satisfacció i el benestar dels empleats, la qual cosa al seu torn es tradueix en un augment de la productivitat i la qualitat del servei al client. Un entorn laboral segur i saludable també redueix la rotació de personal, la qual cosa estalvia costos de reclutament i formació. A més, un equip satisfet brinda un tracte més amable i positiu als clients, la qual cosa millora l'experiència de compra i enforteix la reputació de l'empresa. La inversió en formació i desenvolupament promou la retenció de talent i la promoció interna i genera lleialtat. Algunes solucions per aconseguir bones condicions laborals inclouen horaris flexibles, programes de benestar, oportunitats de formació i equitat salarial. Escoltar i respondre a les preocupacions dels empleats crea un ambient de confiança i compromís, la qual cosa beneficia tant l'empresa com el seu personal.</t>
  </si>
  <si>
    <t xml:space="preserve">- Efectivitat de l'electricitat usada (power usage effectiveness) dels centres de dades
- Grau de virtualització dels servidors, el magatzem i les xarxes per optimitzar recursos
- Ús de la Internet de les coses (IoT) per monitorar i gestionar eficientment l'ús de recursos
- Percentatge dels empleats amb treball híbrid i remot
- Percentatge dels ingressos procedents de serveis sostenibles o relacionats amb la sostenibilitat
- formació d'empleats en l'ús de tecnologies IT per millorar la sostenibilitat
</t>
  </si>
  <si>
    <t>- Percentatge d'ingressos procedents de serveis sostenibles o relacionats amb la sostenibilitat
- Diversificació de serveis 
- Diversificació de clients 
- Capacitat de treball remot 
- Taxa de retenció dels clients
- Desenvolupament de nous serveis
- Hores de formació per empleat 
- Percentatge d'empleats amb formació sobre sostenibilitat</t>
  </si>
  <si>
    <t xml:space="preserve">- Hores de formació per empleat
- % de promocions internes i de lideratge intern
- Avaluació de l'acompliment personalitzat
- Participació en programes de desenvolupament professional 
- Diversitat i inclusió (representació de minories) 
- % d'empleats amb plans de desenvolupament personalitzats
- Taxa de retenció d'empleats
</t>
  </si>
  <si>
    <t>- Percentatge de clients que van participar en programes de formació
- Hores de formació per client
- Creixement salarial
- Diversitat en col·locacions
- Participació de grups vulnerables
- Condicions laborals en el nou contracte
- Serveis de formació sobre la redacció del currículum, entrevistes de treball i recerca de feina</t>
  </si>
  <si>
    <t xml:space="preserve">- Hores de formació per empleat
- % dels professors amb una formació adequada (didactica i tècnica)
- % de promocions internes i de lideratge intern
- Avaluació de l'acompliment personalitzat
- Participació en programes de desenvolupament professional 
- Diversitat i inclusió (representació de minories) 
- % d'empleats amb plans de desenvolupament personalitzats
- Taxa de retenció d'empleats
</t>
  </si>
  <si>
    <t xml:space="preserve">- Resiliència de les instal·lacions envers els diversos impactes físics potencials del canvi climàtic en l'àrea
- Tenir plans de contingència 
- Capacitat de suport energètic disponible
- Capacitat de l'organització de prestar serveis sanitaris en situacions climàtiques extremes
- Capacitat d'emmagatzematge d'aigua potable
- Capacitat d'atendre pacients vulnerables en situacions climàtiques extremes
- formació del personal de primers auxilis climàtics
- Disponibilitat de sistemes d'alerta primerenca
</t>
  </si>
  <si>
    <t>- Freqüència i efectivitat d'actualitzacions de polítiques i procediments de protecció de dades
- Compliment de les regulacions de privacitat de dades com ara RGPD, HIPAA, etc. 
- Accés als registres mèdics i altres dades sensibles només amb autorització especial
- Eficàcia dels mecanismes d'autenticació i autorització
- Ús d'encriptació de dades
- Freqüència i eficàcia del suport de dades 
- Percentatge dels empleats amb formació en temes de protecció de dades</t>
  </si>
  <si>
    <t xml:space="preserve">- Taxa d'accidentabilitat (per x empleats o per x hores treballades)
- Índex de freqüència d'accidents (i canvis respecte d'altres anys)
- Índex de gravetat d'accidents
- Taxa de malalties laborals
- Participació en formacions de seguretat
- Taxa de compliment dels procediments de seguretat 
- Nombre d'inspeccions de seguretat realitzades 
- Freqüència d'avaluació dels riscos laborals
</t>
  </si>
  <si>
    <t xml:space="preserve">- Taxa d'accidentalitat (per x empleats o per x hores treballades)
- Índex de freqüència d'accidents (i canvis respecte d'altres anys)
- Índex de gravetat d'accidents
- Taxa de malalties laborals
- Participació en formacions de seguretat
- Taxa de compliment de procediments de seguretat 
- Nombre d'inspeccions de seguretat realitzades 
- Freqüència d'avaluació dels riscos laborals
</t>
  </si>
  <si>
    <t xml:space="preserve">- Índex de freqüència d'accidents (i canvis respecte d'altres anys)
- Índex de gravetat d'accidents
- Taxa de malalties laborals
- Participació en formacions de seguretat
- Taxa de compliment dels procediments de seguretat 
- Nombre d'inspeccions de seguretat realitzades 
- Freqüència d'avaluació dels riscos laborals
</t>
  </si>
  <si>
    <t>- Àrea de conversió dels ecosistemes (per exemple: deforestació o conversió de bosc verge a cultius)
+ Generat per les operacions mateixes
+ Generat per la cadena de valor
- Abundància mitjana d'espècies 
- Canvis en l'abundància mitjana d'espècies</t>
  </si>
  <si>
    <r>
      <t xml:space="preserve">El transport de materials i productes contribueix al canvi climàtic a causa de les emissions de carboni que genera. Si bé és possible reduir la petjada de carboni en les activitats mateixes mitjançant l'ús d'energies renovables, el transport en si també té un impacte significatiu. Per aquesta raó, és important considerar formes de transport sostenible, com ara mitjans de transport respectuosos envers el medi ambient o la selecció de proveïdors locals, entre altres mesures. En el sector de la logística, hi ha iniciatives destinades a reduir les emissions d'aquest sector. Un exemple d'aquestes iniciatives és </t>
    </r>
    <r>
      <rPr>
        <i/>
        <sz val="10"/>
        <rFont val="Arial"/>
        <family val="2"/>
      </rPr>
      <t>Lean and Green</t>
    </r>
    <r>
      <rPr>
        <sz val="10"/>
        <rFont val="Arial"/>
        <family val="2"/>
      </rPr>
      <t>, que ajuda les empreses logístiques a reduir les seves emissions i compta amb un sistema de classificació basat en el seu acompliment.</t>
    </r>
  </si>
  <si>
    <t>Calcular la petjada de carboni i adoptar fonts d'energia renovable beneficia les empreses de diverses maneres. Avaluar la petjada de carboni demostra un compromís ambiental sòlid, enforteix la reputació i atrau clients sensibles a la sostenibilitat. La instal·lació de fonts d'energia renovable, com ara panells solars, no només redueix els costos a llarg termini, sinó que també disminueix la dependència  envers els combustibles fòssils, cosa que al seu torn ajuda a mitigar l'impacte ambiental.
A més d'aquests beneficis, complir objectius d'energia sostenible pot generar incentius fiscals i subvencions que milloren la rendibilitat de l'empresa. Aquestes accions no només aporten beneficis econòmics i mediambientals, sinó que també reforcen la responsabilitat social de l'empresa i la posicionen com a líder en pràctiques empresarials sostenibles.</t>
  </si>
  <si>
    <r>
      <t xml:space="preserve">El transport de materials i productes contribueix al canvi climàtic a través de les emissions de carboni causades pels vehicles. Per aquest motiu, és important considerar formes de transport sostenible, com ara mitjans de transport respectuosos envers el medi ambient o la selecció de proveïdors locals, entre altres mesures. En el sector de la logística, hi ha iniciatives destinades a reduir les emissions d'aquest sector. Un exemple d'aquestes iniciatives és </t>
    </r>
    <r>
      <rPr>
        <i/>
        <sz val="10"/>
        <rFont val="Arial"/>
        <family val="2"/>
      </rPr>
      <t>Lean and Green</t>
    </r>
    <r>
      <rPr>
        <sz val="10"/>
        <rFont val="Arial"/>
        <family val="2"/>
      </rPr>
      <t>, que ajuda les empreses logístiques a reduir les seves emissions i compta amb un sistema de classificació basat en el seu acompliment.</t>
    </r>
  </si>
  <si>
    <t>Medi ambient - Emissions de carboni</t>
  </si>
  <si>
    <r>
      <t xml:space="preserve">El transport de materials i productes contribueix al canvi climàtic a través de les emissions de carboni que genera. Si bé és possible reduir la petjada de carboni en les activitats mateixes mitjançant l'ús d'energies renovables, el transport en si mateix també té un impacte significatiu. Per aquesta raó, és important considerar formes de transport sostenible, com ara mitjans de transport respectuosos envers el medi ambient o la selecció de proveïdors locals, entre altres mesures. En el sector de la logística, hi ha iniciatives destinades a reduir les emissions d'aquest sector. Un exemple d'aquestes iniciatives és </t>
    </r>
    <r>
      <rPr>
        <i/>
        <sz val="10"/>
        <rFont val="Arial"/>
        <family val="2"/>
      </rPr>
      <t>Lean and Green</t>
    </r>
    <r>
      <rPr>
        <sz val="10"/>
        <rFont val="Arial"/>
        <family val="2"/>
      </rPr>
      <t>, que ajuda les empreses logístiques a reduir les seves emissions i compta amb un sistema de classificació basat en el seu acompliment.</t>
    </r>
  </si>
  <si>
    <t>Medi ambient - emissions de carboni (petjada de carboni)</t>
  </si>
  <si>
    <t>Els centres d'atenció mèdica generen una gran varietat de residus, inclosos els biocontaminats, els químics i d'altres tipus. Gestionar adequadament aquests residus és essencial per prevenir riscos per a la salut pública i la contaminació ambiental. Els hospitals poden reduir l'impacte dels seus residus mitjançant pràctiques de gestió eficients, com ara la segregació adequada de deixalles perilloses i no perilloses, l'elecció d'eines reutilitzables, la promoció del reciclatge i l'adopció de tecnologies de tractament segures. Capacitar el personal i sensibilitzar els pacients també contribueixen a minimitzar l'impacte ambiental i protegir la salut pública.</t>
  </si>
  <si>
    <t>Medi ambient - gestió de residus</t>
  </si>
  <si>
    <r>
      <t>Els gasos refrigerants convencionals, com els hidrofluorocarbons (HFC), tenen un alt impacte en l'escalfament global. Optar per refrigerants de baix potencial d'escalfament, com els hidrofluorolefins (HFO) o refrigerants naturals com l'amoníac i el diòxid de carboni (CO</t>
    </r>
    <r>
      <rPr>
        <vertAlign val="subscript"/>
        <sz val="10"/>
        <rFont val="Arial"/>
        <family val="2"/>
      </rPr>
      <t>2</t>
    </r>
    <r>
      <rPr>
        <sz val="10"/>
        <rFont val="Arial"/>
        <family val="2"/>
      </rPr>
      <t>), redueix dràsticament les emissions de gasos amb efecte d'hivernacle.
Atès que els sistemes de refrigeració són essencials en centres sanitaris, l'elecció de refrigerants ambientalment amigables és cabdal per mitigar l'impacte climàtic. Això no només redueix les emissions, sinó que també pot estalviar energia i millorar la qualitat de l'aire interior. Elegir refrigerants responsables beneficia el medi ambient i assegura la seguretat de pacients i personal mèdic.</t>
    </r>
  </si>
  <si>
    <t>Qualitat de l'Aire</t>
  </si>
  <si>
    <t>Materials d'Embalatge</t>
  </si>
  <si>
    <t>Bon govern - Avantprojecte de llei de transports de viatgers en vehicles de fins a 9 places (taxi i VTC)</t>
  </si>
  <si>
    <t>Consulta informació sobre l'Avantprojecte de llei de transports de viatgers en vehicles de fins a 9 places</t>
  </si>
  <si>
    <t>Mesures de seguretat i el manteniment de les àrees de treball en el sector Horeca</t>
  </si>
  <si>
    <t>Consulat més informació sobre convenis per sectors</t>
  </si>
  <si>
    <t>El model de govern de les dades de Catalunya consisteix en l'establiment de polítiques, normatives i procediments per a la gestió i l'ús de les dades dins de l'àmbit territorial. Aquest model busca assegurar que les dades siguin utilitzades de manera eficient, transparent i segura, protegint al mateix temps la privacitat i els drets individuals. Per a les petites i mitjanes empreses, aquest model pot comportar la necessitat d'adaptar els seus processos de gestió de dades per complir amb les regulacions establertes. Aquest model pot ser un referent en la gestió eficient de les  dades​, un element  clau en el bon govern de les empreses del sector.</t>
  </si>
  <si>
    <t>La Generalitat i el Col·legi de Publicitàries i Publicitaris i Relacions Públiques de Catalunya impulsen accions per fomentar una publicitat amb perspectiva de gènere.</t>
  </si>
  <si>
    <t>Social - Pautes per a la gestió conjunta dels sistemes d’autocontrol de la Qualitat i Seguretat Alimentàries basats en l’Anàlisi de perills i punts de control crític (APPCC)</t>
  </si>
  <si>
    <t>L’Estratègia catalana de seguretat i salut laboral 2021-2026 té com a objectiu millorar les condicions de treball a Catalunya, reduir la sinistralitat laboral i promoure la prevenció de riscos laborals. És fruit del treball conjunt entre la Generalitat, patronals i sindicats, amb indicadors per avaluar-ne el progrés i una perspectiva de gènere transversal.</t>
  </si>
  <si>
    <t xml:space="preserve">Aquest Pla contempla un eix dedicat a la "Transformació Democràtica", que inclou aspectes com el "Bon govern i govern obert". Aquest enfocament pot ser rellevant per al sector, ja que promou la transparència, l'ètica i la responsabilitat en les pràctiques de govern, que poden ser aplicades o servir d'exemple per a les empreses del sector​ </t>
  </si>
  <si>
    <t>Aquest Pla contempla un eix dedicat a la "Transformació Democràtica", que inclou aspectes com el "Bon govern i govern obert". Aquest enfocament pot ser rellevant per al sector, ja que promou la transparència, l'ètica i la responsabilitat en les pràctiques de govern, que poden ser aplicades o servir d'exemple per a les empreses del sector​.</t>
  </si>
  <si>
    <t>Els projectes estratègics de desenvolupament econòmic local tenen l'objectiu d'analitzar, planificar i definir el conjunt d’estratègies, actuacions, projectes i programes orientats a enfortir les economies locals amb la finalitat de millorar la qualitat de vida i el benestar de les persones a partir d’un desenvolupament econòmic sostenible estretament lligat a un àmbit territorial local determinat, i avaluar-ne els resultats. Ofereix recursos de formació al món rural, estretament lligat al sector agroalimentari.</t>
  </si>
  <si>
    <t>El Pla de seguretat alimentària de Catalunya 2022-2026, aprovat pel Govern de Catalunya el 7 de juny de 2022, té com a objectiu mantenir l’alt nivell de seguretat alimentària i alhora contribuir a consolidar el prestigi dels productes alimentaris catalans en el mercat nacional i internacional. És l’instrument estratègic de referència de la intervenció pública en aquesta matèria. </t>
  </si>
  <si>
    <t>Conté materials del Departament d'Acció Climàtica, Alimentació i Agenda Rural de la Generalitat de Catalunya, per facilitar a les PIME agroalimentàries la implantació del sistema d’autocontrol de la qualitat: cursos de formació, MUCAI (Mínima Unitat de Coneixements Adquirits Individuals) en qualitat agroalimentària i altres materials com ara guies, fitxes informatives sobre etiquetatge i aspectes crítics de qualitat elaborades per la Subdirecció General de la Inspecció i el Control Agroalimentaris i documents interpretatius disponibles al lloc web del Departament.</t>
  </si>
  <si>
    <t>El Departament d’Acció Climàtica, Alimentació i Agenda Rural de la Generalitat de Catalunya, lidera una iniciativa voluntària que involucra tots els actors de la cadena alimentària amb l’objectiu de millorar les relacions, la transparència, l’eficiència i la valorització dels productes agroalimentaris. A més, se cerca impulsar la comercialització local, l’eficiència tecnològica i la resolució de conflictes entre empreses. Publicat l’any 2011.</t>
  </si>
  <si>
    <t>L’Estratègia RIS3CAT 2030, encara que no està enfocada específicament envers aquest sector, pot enfortir la resiliència dels models de negoci de les seves empreses PIME. Això s’aconsegueix mitjançant el foment de la innovació i la col·laboració intersectorial, la diversificació de serveis, la capacitació i el desenvolupament de talent, i també proporcionant accés a recursos i xarxes de suport. Aquestes accions poden ajudar les empreses de serveis professionals a adaptar-se i créixer en un entorn empresarial dinàmic.</t>
  </si>
  <si>
    <t>Social - Conveni col·lectiu de treball del sector del comerç tèxtil de la província de Barcelona per als anys 2022-2024</t>
  </si>
  <si>
    <t>El Conveni col·lectiu de treball del sector del comerç tèxtil de la província de Barcelona per als anys 2022-2024 estableix les condicions laborals i els drets dels treballadors en aquest sector durant aquest període. Inclou aspectes com ara salaris, jornada laboral, vacances i altres beneficis laborals amb l’objectiu de regular les relacions laborals i millorar les condicions dels empleats en aquest àmbit.</t>
  </si>
  <si>
    <t>L’objectiu del Reglament EUTR és garantir que la fusta i els productes de la fusta que es comercialitzen dins la UE, ja siguin produïts a la Unió Europea mateixa o importats, provenen d’aprofitaments legals.</t>
  </si>
  <si>
    <t>El model de gestió vigent i les bases de la planificació es fonamenten, entre d’altres, en els principis de proximitat, de suficiència i de responsabilitat del productor, i també en la jerarquia establerta per a les diferents formes de gestió, que dóna prioritat a les actuacions de prevenció.</t>
  </si>
  <si>
    <t>Diversos - Normativa en matèria de residus</t>
  </si>
  <si>
    <t xml:space="preserve">Consulta informació sobre la normativa en matèria de residus
</t>
  </si>
  <si>
    <t>El Codi de Bones Pràctiques en la promoció i execució d'obres de construcció inclou directrius per a la planificació, sostenibilitat, qualitat i gestió de projectes. En relació amb la salut i seguretat, es centra en la prevenció de riscos laborals, la formació dels treballadors i el compliment de la legislació de seguretat en el treball, a fi de garantir un entorn laboral segur en el sector de la construcció.</t>
  </si>
  <si>
    <t xml:space="preserve">Seguretat i qualitat del producte - Homologació de productes en el sector de la construcció
</t>
  </si>
  <si>
    <t>L’homologació de productes (prototipus, tipus o models) és un tipus de certificació establerta per una Administració pública que implica el reconeixement oficial que compleixen els requeriments obligatoris definits en especificacions tècniques o normes. Aquesta certificació garanteix que els productes són aptes per a l’ús en la construcció, cosa que contribueix a la seguretat, durabilitat i fiabilitat dels edificis i les estructures.</t>
  </si>
  <si>
    <t>El Conveni col·lectiu del sector de la construcció i obres públiques i materials de la construcció és un acord laboral que estableix les condicions de treball per als empleats d’aquest sector.</t>
  </si>
  <si>
    <t>Estratègia catalana per a la renovació energètica d'edificis</t>
  </si>
  <si>
    <t>Aquesta Estratègia, aprovada pel Govern, busca promoure la renovació energètica dels edificis i pot influir en el sector de la construcció en termes de sostenibilitat i eficiència energètica, aspectes clau per al bon govern en aquest sector.</t>
  </si>
  <si>
    <t>La societat pública Infraestructures de la Generalitat de Catalunya, SAU, gestiona el procés de licitació i execució d’obres d’actuacions de construcció, conservació, manteniment i modernització d’edificacions i infraestructures per encàrrec de l’Administració de la Generalitat o del seu sector públic. Això inclou la gestió de contractes, la supervisió de l’execució i el desenvolupament d’estudis i projectes.</t>
  </si>
  <si>
    <t>La política de ciberseguretat de Catalunya està enfocada a protegir les infraestructures d’informació i comunicació i prevenir atacs cibernètics. Inclou mesures de protecció, protocols de resposta, formació, cooperació i legislació. A les petites i mitjanes empreses, això pot afectar-les en incrementar la seva seguretat en línia, però també pot requerir que adaptin les seves pràctiques i infraestructures tecnològiques per complir les normatives de ciberseguretat.</t>
  </si>
  <si>
    <t>Social- Política de ciberseguretat de Catalunya</t>
  </si>
  <si>
    <t>Social - Política de ciberseguretat a Catalunya</t>
  </si>
  <si>
    <t>Social - Política de ciberseguretat de Catalunya</t>
  </si>
  <si>
    <t>El model de govern de les dades de Catalunya consisteix a establir polítiques, normatives i procediments per a la gestió i l’ús de les dades dins de l’àmbit territorial. Aquest model cerca assegurar que les dades siguin utilitzades de manera eficient, transparent i segura, i protegir al mateix temps la privacitat i els drets individuals. Per a les petites i mitjanes empreses, aquest model pot comportar la necessitat d’adaptar els seus processos de gestió de dades per complir les regulacions establertes.</t>
  </si>
  <si>
    <t>Informació sobre el Reglament (UE) 2016/679 del Parlament i del Consell, de 27 d'abril, relatiu a la protecció de les persones físiques pel que fa al tractament de dades personals i a la lliure circulació d'aquestes dades i pel qual es deroga la Directiva 95/46/CE (Reglament general de protecció de dades) (DOUE 4.5.2016).</t>
  </si>
  <si>
    <t>Informació sobre el (UE) 2016/679 del Parlament i del Consell, de 27 d'abril, relatiu a la protecció de les persones físiques pel que fa al tractament de dades personals i a la lliure circulació d'aquestes dades i pel qual es deroga la Directiva 95/46/CE (Reglament general de protecció de dades) (DOUE 4.5.2016).</t>
  </si>
  <si>
    <t>Bon govern - Digitalització i teletreball per a PIME i autònoms</t>
  </si>
  <si>
    <t>La Generalitat de Catalunya s’ha abocat a la digitalització de les PIME: ofereix ajuts a la transformació digital, acompanya les empreses en aquest procés i fomenta una competència responsable i adaptada a l’era digital.</t>
  </si>
  <si>
    <t>La Llei 12/2017, de 6 de juliol, de l’arquitectura, pot requerir que les PIME del sector segueixin estàndards més alts de disseny, sostenibilitat i integració social i s’adaptin a noves normatives i processos de llicència. A més, fomenta el bon govern en incloure transparència i responsabilitat en la pràctica arquitectònica.</t>
  </si>
  <si>
    <t>El Programa FSE+ Catalunya 2021-2027, finançat pel Fons Social Europeu, està dissenyat per promoure la inclusió social, l’ocupació, l’educació i la formació. Afecta les PIME proporcionant suport en la formació dels empleats, la millora de competències i l’impuls de l’ocupació, especialment en sectors d’alta demanda. En el sector de l’arquitectura i l’enginyeria, el programa pot ajudar les empreses a desenvolupar habilitats específiques del sector, com ara el disseny sostenible o noves tecnologies. Això pot incloure formació en àrees com BIM (Building Information Modeling) o eficiència energètica, cosa que ajuda a millorar la competitivitat i adaptació a les tendències del mercat.</t>
  </si>
  <si>
    <t>La seguretat i qualitat del producte en el sector de l’automoció es basa en diverses directives i reglaments que s’han desenvolupat des de mitjan anys 70. Aquests reglaments inclouen mesures per a la protecció interior dels vehicles, millora de la il·luminació i frenada, resistència dels seients i prohibició de sortints exteriors que puguin causar dany a vianants. A més, des dels anys 80, s’han establert reglaments sobre el comportament de l’estructura dels vehicles en xocs frontals i posteriors. També s’ha donat importància a la limitació d’emissions contaminants, amb normatives que estableixen límits cada cop més estrictes a les emissions dels vehicles. Així, el sector s’enfronta a alts nivells d’exigència tecnològica en totes les fases del cicle de vida del vehicle, des de l’homologació fins al final de la seva vida útil.</t>
  </si>
  <si>
    <t>Les guies sobre protecció de dades per al comerç de la Diputació de Barcelona ofereixen orientacions als comerciants sobre el RGPD i la protecció de dades, incloent principis bàsics, drets dels titulars de les dades, obligacions dels comerciants i consells pràctics per a una gestió segura i legal de les dades personals.</t>
  </si>
  <si>
    <t>La Llei 18/2017, d’1 d’agost, de comerç, serveis i fires, regula aspectes del sector comercial a Catalunya, incloent el comerç a l’engròs. Aquesta Llei pot afectar les condicions laborals dels treballadors en aquest àmbit ja que estableix normatives sobre horaris comercials, períodes de rebaixes, promocions i activitats de comerç, tots factors que poden influir en les hores i les condicions de treball dels empleats. Tanmateix, els detalls específics sobre les condicions laborals són generalment regulats per convenis col·lectius o legislació laboral específica. En termes de bon govern, aquesta Llei pot afectar les PIME en promoure un model comercial sostenible i equilibrat i incentivar l’ús racional del territori i la protecció de l’entorn urbà. La Llei cerca la preservació de Bones Pràctiques comercials, la competència lliure i lleial i un desenvolupament sostenible.</t>
  </si>
  <si>
    <t>El mètode que es presenta té com a objectiu ajudar l’empresari a prendre les decisions necessàries per eliminar els riscos del conductor professional o disminuir-los fins a límits acceptables amb la finalitat de combatre la sinistralitat laboral viària i, per extensió, augmentar la seguretat a les carreteres.</t>
  </si>
  <si>
    <t>Aquest document contribueix a crear un marc legal i reglamentari que afecta tant el funcionament de les empreses de transport de mercaderies com les condicions laborals dels seus treballadors i assegura que els drets i les obligacions tant dels empresaris com dels treballadors siguin clars i estiguin regulats.</t>
  </si>
  <si>
    <t>L’objecte d’aquesta línia de subvencions és incrementar l’eficiència de les empreses del sector del transport de viatgers i mercaderies per carretera mitjançant la digitalització, la sostenibilitat, la connectivitat, la renovació dels sistemes i la introducció de noves tecnologies al sector. Termini de presentació de sol·licituds: des del 29 d’abril de 2023 a les 9 hores fins al 30 de juny de 2024 a les 15 hores.</t>
  </si>
  <si>
    <t>Guia per incorporar criteris de sostenibilitat en esdeveniments, tant públics com privats, i contribuir així a assolir els Objectius de Desenvolupament Sostenible (ODS).</t>
  </si>
  <si>
    <t>El manteniment adequat de l’electricitat i d’altres instal·lacions té un paper important en la prevenció d’incendis i en la provisió d’un entorn segur i confortable per a treballadors i clients en el sector de l’hoteleria.</t>
  </si>
  <si>
    <t>Per gestionar la seguretat i la salut, les empreses del sector Horeca (hoteleria, restauració i càtering) han d’establir procediments adequats. La gestió de la seguretat i salut en el treball (SST) és un deure legal, però també és beneficiós per als negocis. La prevenció d’accidents i de malalties relacionades amb el treball estalvia diners i contribueix a garantir un entorn laboral productiu. La gestió de la SST s’ha de considerar com a part del procés quotidià de gestió d’una organització i una part integral de les pràctiques en el lloc de treball. Involucrar els treballadors és un aspecte clau per a una gestió eficaç de la SST.</t>
  </si>
  <si>
    <t>Un cartell de queixes, reclamacions o denúncies en l’empresa és vital per al benestar del client. Aquest servei proporciona als clients un mitjà senzill i accessible per expressar les seves inquietuds o problemes i assegura que les seves veus siguin escoltades i ateses de manera efectiva. Mitjançant aquesta iniciativa, les empreses demostren el seu compromís amb la satisfacció del client i la millora contínua dels seus serveis o productes. A més, aquest cartell crea una cultura empresarial centrada en el client, on les empreses estan disposades a escoltar, aprendre i adaptar-se per oferir una experiència positiva. En definitiva, el cartell de queixes i reclamacions contribueix directament al benestar del client i en fomenta la confiança i la fidelitat a llarg termini.</t>
  </si>
  <si>
    <t>El Conveni col·lectiu del sector de l’hoteleria i el turisme regula salaris, jornada laboral, vacances, condicions de treball, formació, promoció professional i normes de contractació i acomiadament per als treballadors del sector i hi assegura condicions laborals justes i segures.</t>
  </si>
  <si>
    <t>Consulta més informació sobre Conveni col·lectiu del sector de l'hoteleria i el turisme</t>
  </si>
  <si>
    <t>La Resolució EMT/4203/2022, que inscriu i publica el Conveni col·lectiu interprovincial del sector de la indústria d’hoteleria i turisme de Catalunya, representa un esforç envers el bon govern en el sector en establir condicions laborals justes i equitatives.</t>
  </si>
  <si>
    <t>L’Informe de l’estudi de les condicions de treball del col·lectiu de cambrers i cambreres de pis a Catalunya, realitzat per l’Institut Català de Seguretat i Salut Laboral, se centra en les condicions laborals del col·lectiu majoritàriament femení de cambrers de pis en hotels i allotjaments similars a Catalunya. L’estudi, transversal i no estadísticament representatiu, es va dur a terme durant l’any 2018 i va incloure entrevistes, observacions i gravacions en vídeo de les tasques laborals en diferents hotels.</t>
  </si>
  <si>
    <t>El fet que Catalunya sigui Regió Mundial de Gastronomia 2025 pot beneficiar el sector de l’hoteleria en termes de nutrició i salut pel que significa de promoció de la cuina local i els aliments saludables. Això pot incentivar els establiments a oferir plats més equilibrats, amb ingredients frescos i de proximitat, i a incorporar opcions més saludables als seus menús. A més, pot augmentar el turisme gastronòmic en atreure visitants interessats en l’experiència culinària catalana i en la seva tradició d’alimentació saludable, cosa que impulsa l’economia local i la demanda en el sector de l’hoteleria.</t>
  </si>
  <si>
    <t>L’Acord europeu per garantir un nivell alt i comú de ciberseguretat és un compromís entre els països membres de la Unió Europea per establir estàndards uniformes i elevats de seguretat cibernètica. L’objectiu és protegir les xarxes i els sistemes d’informació essencials, millorar la cooperació i compartir informació sobre amenaces cibernètiques, i augmentar la resiliència global contra els atacs cibernètics. Aquest acord també pot incloure la implementació de legislació comuna, la promoció de la formació i la consciència en ciberseguretat i el suport a la investigació i el desenvolupament en aquest àmbit.</t>
  </si>
  <si>
    <t>L’Estratègia catalana per a l’ocupació de qualitat 2022-2027 pot afectar el sector dels serveis professionals mitjançant la millora de la qualitat de l’ocupació, la promoció de la formació i qualificació, el suport a la contractació, el foment de la innovació i la digitalització i la promoció de la inclusió i diversitat en el treball.</t>
  </si>
  <si>
    <t xml:space="preserve">Les Guies Bàsiques de Protecció de Dades són essencials per al sector de serveis professionals a Catalunya, ja que proporcionen orientacions clau per complir amb les normatives de protecció de dades personals. Aquestes guies ajuden a les empreses a entendre com recopilar, processar, emmagatzemar i compartir dades de manera segura i legal, assegurant la confiança dels clients. També ofereixen recomanacions sobre seguretat de la informació, gestió dels drets dels subjectes de dades, formació dels empleats i desenvolupament de polítiques internes. En resum, són una eina vital per promoure pràctiques de gestió de dades responsables i segures en el sector de serveis professionals. </t>
  </si>
  <si>
    <t>L’homologació de productes en el sector de la construcció és un element clau per al sector immobiliari, ja que assegura la qualitat, seguretat i conformitat legal dels materials utilitzats en la construcció d’edificis, cosa que afavoreix la confiança dels consumidors i la sostenibilitat del valor immobiliari.</t>
  </si>
  <si>
    <t>Orientació per a la formació professional proporcionada per la plataforma Tria educativa de la Generalitat de Catalunya</t>
  </si>
  <si>
    <t>Bon govern - Instrucció sobre el Catàleg de publicitat Activa</t>
  </si>
  <si>
    <t>Aquesta instrucció està relacionada amb la Llei de transparència, accés a la informació pública i bon govern, i podria proporcionar directrius sobre com les PIME poden garantir la transparència en la seva comunicació i publicitat.</t>
  </si>
  <si>
    <t>El Hub del Màrqueting i la Comunicació de Catalunya, creat amb el suport de la Generalitat de Catalunya, la Diputació de Barcelona i l’Ajuntament de Barcelona, té com a objectiu esdevenir un motor d’acceleració per al sector de la comunicació, el màrqueting, les relacions públiques i la publicitat. El Hub cerca promoure la col·laboració i la generació d’oportunitats dins de la indústria comunicativa a fi de fer aportacions a l’economia de la ciutat i del país en general. Aquesta iniciativa podria ser beneficiosa per a les PIME del sector, ja que proporciona un espai per a la interacció, el treball en xarxa (networking) i el desenvolupament de negocis.</t>
  </si>
  <si>
    <t>Aquesta guia proporciona eines i metodologies per a la planificació d’intervencions públiques, incloent la importància de la transparència, l’avaluació i el seguiment. Això pot ser aplicable al sector en termes de desenvolupament de campanyes i projectes que compleixin els estàndards de bon govern.</t>
  </si>
  <si>
    <t>El Pla de desenvolupament de polítiques d’ocupació de Catalunya (PDPO) és l’instrument de planificació i programació de les accions del SOC i concreta el conjunt de serveis i programes destinats a fomentar, directament o indirectament, l’ocupació i a desplegar les directrius recollides en el Pla.</t>
  </si>
  <si>
    <t xml:space="preserve">Estableix les línies estratègiques en polítiques d'ocupació per als propers cinc anys, amb l'objectiu de millorar l'ocupabilitat de les persones, fomentar la competitivitat econòmica i empresarial i l'emprenedoria. Mostra el compromís de la Generalitat de Catalunya per fomentar el bon govern i la transparència en el sector dels serveis d'ocupació, amb una orientació cap a la millora de l'ocupabilitat, la inclusió social i el desenvolupament econòmic sostenible. </t>
  </si>
  <si>
    <t>El Pla estratègic de subvencions del Departament d’Educació 2022-2025 estableix les línies directives per a la concessió de subvencions en l’àmbit educatiu, cosa que pot influir en la competència responsable dins d’aquest sector.</t>
  </si>
  <si>
    <t>Informació general sobre la SARS CoV-2 proporcionada per la Generalitat de Catalunya que conté un seguit de mesures i recomanacions per evitar el contagi entre els treballadors del sector sanitari.</t>
  </si>
  <si>
    <t>En aquest web trobaràs informació de qualitat i actualitzada de tots els ensenyaments que pots cursar a Catalunya i dels itineraris formatius més freqüents. Pot ajudar a les PIME a orientar acadèmicament el seu alumnat.</t>
  </si>
  <si>
    <t>Aquesta informació sobre l’accés a l’assistència sanitària pot ajudar les PIME del sector sanitari a entendre millor com els pacients accedeixen als seus serveis. Això inclou la importància de la targeta sanitària individual (TSI) per programar visites a l’atenció primària i el procés de derivació a serveis d’atenció. Conèixer aquestes rutes d'accés ajuda a les pimes a coordinar millor l'atenció amb altres parts del sistema de salut.</t>
  </si>
  <si>
    <t>Aquest Pla reforma el Sistema Català de Serveis Socials, dona més pes a l’acció comunitària i la prevenció i pot influir en el sector sanitari, especialment en la gestió de riscos d’incidents crítics i sistèmics.</t>
  </si>
  <si>
    <t>Aquest Pla té l’objectiu d’aportar solucions als problemes de salut de la ciutadania i estableix les línies generals de la recerca i la innovació del Departament de Salut. És un element clau en la gestió de riscos en el sector sanitari, especialment en termes de recerca i innovació.</t>
  </si>
  <si>
    <t xml:space="preserve">Bon govern - Pla estratègic de recerca i innovació en salut 2022-2027 </t>
  </si>
  <si>
    <t>La guia s’adreça a tots els professionals que participen en la prestació de l’assistència sanitària i combina la metodologia clàssica de prevenció de riscos laborals amb l’enfocament propi de la salut pública i la promoció de la salut. Així mateix, dona una gran importància a la participació dels diferents agents responsables, a l’autocura i al treball des de diferents àmbits d’actuació. La guia pot ajudar a les PIME del sector sanitari millorant la seguretat laboral, promovent l'autocura i la salut dels treballadors, integrant prevenció de riscos laborals i salut pública, fomentant la participació dels empleats, i sent adaptable a diferents àmbits d'actuació dins del sector. Això contribueix a entorns de treball més segurs i eficients.</t>
  </si>
  <si>
    <t>Social - Estretègia Catalana per l'ocupació de qualitat</t>
  </si>
  <si>
    <t xml:space="preserve">El Programa FSE+ Catalunya 2021-2027, finançat pel Fons Social Europeu, està dissenyat per promoure la inclusió social, l'ocupació, l'educació i la formació. Afecta a les PIME proporcionant suport en la formació dels empleats, la millora de competències i l'impuls de l'ocupació, especialment en sectors d'alta demanda pot afectar positivament a les PIME del sector de l'ocupació proporcionant suport financer i recursos per a la formació i el desenvolupament de competències dels treballadors. Això pot incloure programes de formació professional, iniciatives per millorar l'ocupabilitat, i projectes per fomentar la inclusió laboral. Per a les PIME, això pot significar accés a treballadors més qualificats, oportunitats per millorar les habilitats del seu personal actual, i suport en la creació de llocs de treball. </t>
  </si>
  <si>
    <t>Diversos - Digitalització del transport terrestre de mercaderies</t>
  </si>
  <si>
    <t>Consulta informació sobre la digitalització del transport terrestre de mercaderies</t>
  </si>
  <si>
    <t xml:space="preserve">Vegeu la ISO 20400:2017 sobre compra sostenible
</t>
  </si>
  <si>
    <t>Consulteu la ISO 20400:2017 sobre compra sostenible</t>
  </si>
  <si>
    <t>Moves III és un programa d'incentius financers a Catalunya que donarà suport a individus i empreses catalanes en la compra de vehicles elèctrics i de pila d'hidrogen. També inclou incentius per expandir la xarxa de càrrega de vehicles elèctrics. Aquests incentius fomenten l'adopció de vehicles elèctrics a la flota de vehicles catalana, la qual cosa contribueix a reduir les emissions de gasos amb efecte d'hivernacle relacionades amb el transport.
És important destacar que només els vehicles de les categories L, M1 i N1 són elegibles per rebre subvencions. Les empreses de transport podrien considerar agregar vehicles de la categoria N1 a la seva flota per dur a terme la distribució urbana utilitzant vehicles d'emissions zero.</t>
  </si>
  <si>
    <r>
      <t>És essencial considerar la sostenibilitat dels proveïdors i donar prioritat a aquells que destaquen en qüestions ambientals, socials i de bon govern (ASG) en la compra d'equips i materials. Per promoure la compra sostenible, aquestes empreses poden establir polítiques que avaluïn i prioritzin els proveïdors segons el seu acompliment ASG i la certificació de sostenibilitat dels seus productes, com ara l'EU Ecolabel. A més, col·laborar amb els proveïdors és fonamental per impulsar millores contínues en sostenibilitat. Actualment, la Unió Europea està desenvolupant legislació per exigir a les grans empreses que garanteixin la sostenibilitat en les seves compres, en forma del CSDDD (</t>
    </r>
    <r>
      <rPr>
        <i/>
        <sz val="10"/>
        <rFont val="Arial"/>
        <family val="2"/>
      </rPr>
      <t>Corporate Sustainable Due Diligence Directive</t>
    </r>
    <r>
      <rPr>
        <sz val="10"/>
        <rFont val="Arial"/>
        <family val="2"/>
      </rPr>
      <t>).</t>
    </r>
  </si>
  <si>
    <t>L'eficiència energètica als centres sanitaris és essencial no només per reduir costos operatius, sinó també per limitar les emissions de carboni i contribuir a la lluita contra el canvi climàtic. Els hospitals poden prendre mesures com la compra d'equips eficients, la instal·lació d'il·luminació LED i sensors automàtics i la generació d'energia renovable a través de panells solars per reduir la seva petjada de carboni i els costos energètics. Això no només beneficia la sostenibilitat ambiental, sinó que també pot millorar l'eficiència operativa de la institució i, en última instància, la seva capacitat de prestar atenció mèdica d'alta qualitat.</t>
  </si>
  <si>
    <t>La compra sostenible és essencial per als centres sanitaris per diverses raons. En primer lloc, redueix l'impacte ambiental en minimitzar residus sanitaris i utilitzar eficientment els recursos. En segon lloc, millora la imatge institucional en mostrar un compromís envers la responsabilitat social i ambiental. En tercer lloc, redueix els costos operatius a llarg termini en adoptar pràctiques més eficients en l'ús d'energia i recursos. A més, garanteix la qualitat i seguretat dels subministraments mèdics, fonamentals per a l'atenció al pacient. La compra sostenible també garanteix el compliment de regulacions i normatives sobre salut i medi ambient, promou una atenció mèdica responsable i atrau pacients conscients, cosa que contribueix a un sistema de salut més resilient.</t>
  </si>
  <si>
    <t>Consulteu la Guia de compra sostenible de productes sanitaris</t>
  </si>
  <si>
    <r>
      <t>És important avaluar la sostenibilitat dels proveïdors i donar prioritat a aquells que destaquen en qüestions ambientals, socials i de bon govern (ASG) en la compra d'equips i materials. Per promoure la compra sostenible, aquestes empreses poden establir polítiques que avaluïn i prioritzin els proveïdors segons el seu acompliment ASG i la certificació de sostenibilitat dels seus productes, com ara l'EU Ecolabel. A més, col·laborar amb els proveïdors és fonamental per impulsar millores contínues en sostenibilitat. Actualment, la Unió Europea està desenvolupant legislació per exigir a les grans empreses que garanteixin la sostenibilitat en les seves compres, en forma del CSDDD (</t>
    </r>
    <r>
      <rPr>
        <i/>
        <sz val="10"/>
        <rFont val="Arial"/>
        <family val="2"/>
      </rPr>
      <t>Corporate Sustainable Due Diligence Directive</t>
    </r>
    <r>
      <rPr>
        <sz val="10"/>
        <rFont val="Arial"/>
        <family val="2"/>
      </rPr>
      <t>).</t>
    </r>
  </si>
  <si>
    <r>
      <t xml:space="preserve">Per a productes físics, els impactes més significatius sovint estan relacionats amb els materials necessaris per a la producció i els residus generats al final de la seva vida útil. Per reduir aquests impactes, hi ha diverses iniciatives que promouen la reutilització, la recuperació i el reciclatge de materials. La Unió Europea ha desenvolupat un pla d'acció per fomentar l'economia circular i reduir l'eliminació de residus. A més, diverses ONG i indústries han implementat iniciatives per millorar la circularitat dels productes i els processos de producció.
En aquest context, l'ecodisseny o disseny per a la circularitat exerceix un paper fonamental, ja que el disseny d'un producte influeix en gran mesura en la seva capacitat de ser posteriorment reciclat.
Catalunya Circular és el hub d’innovació i punt de trobada d’empreses i institucions que aporten solucions i estratègies per consolidar l’economia circular a Catalunya.
La certificació </t>
    </r>
    <r>
      <rPr>
        <i/>
        <sz val="10"/>
        <rFont val="Arial"/>
        <family val="2"/>
      </rPr>
      <t>Cradle to Cradle</t>
    </r>
    <r>
      <rPr>
        <sz val="10"/>
        <rFont val="Arial"/>
        <family val="2"/>
      </rPr>
      <t xml:space="preserve"> s'atorga a productes que compleixen els principis de l'economia circular, i la Fundació Ellen MacArthur difon informació sobre l'economia circular i com implementar-la.</t>
    </r>
  </si>
  <si>
    <t>Consulteu més informació sobre l'economia circular (Fundació Ellen McArthur)</t>
  </si>
  <si>
    <t>Consulta informació sobre Catalunya Circular, l'Observatori d'economia circular</t>
  </si>
  <si>
    <t>Catalunya Circular és el hub d’innovació i punt de trobada d’empreses i institucions que aporten solucions i estratègies per consolidar l’economia circular a Catalunya.</t>
  </si>
  <si>
    <t>Catalunya Circular: l'Observatori d'economia circular</t>
  </si>
  <si>
    <t>Adoptar enfocaments circulars implica reduir la generació de residus, reutilitzar materials i dissenyar productes i processos de manera que en permetin la desmuntabilitat i el reciclatge. Això no només contribueix a disminuir la petjada ambiental, sinó que també comporta beneficis econòmics. Les empreses poden accedir a fonts de materials més sostenibles, reduir costos relacionats amb l'eliminació de residus i enfortir la seva reputació en alinear-se amb pràctiques ambientals avançades. Els clients, per la seva banda, es beneficien de productes més eficients i duradors, alhora que contribueixen a la sostenibilitat ambiental. El Pla d'acció per a l'economia circular de la Unió Europea proporciona directrius i suport per a aquest procés, promou la transició envers pràctiques circulars i crea un entorn propici perquè les empreses prosperin mentre tenen cura del medi ambient.
Catalunya Circular és el hub d’innovació i punt de trobada d’empreses i institucions que aporten solucions i estratègies per consolidar l’economia circular a Catalunya.</t>
  </si>
  <si>
    <r>
      <t xml:space="preserve">Per a productes físics, alguns dels impactes més significatius sovint estan relacionats amb els materials necessaris per a la seva producció i els residus generats després del seu ús. Les empreses minoristes poden millorar el seu acompliment en sostenibilitat en seleccionar productes fets de materials respectuosos envers el medi ambient i dissenyats per facilitar-ne el manteniment, la reparació i el reciclatge. A la Unió Europea, s'ha desenvolupat un pla d'acció per promoure l'economia circular i reduir la quantitat de residus enviats a abocadors. En aquest context, l'ecodisseny o disseny per a la circularitat és fonamental, ja que la manera en què es dissenya un producte té un gran impacte sobre la seva capacitat posterior de ser reciclat. Hi ha certificacions com </t>
    </r>
    <r>
      <rPr>
        <i/>
        <sz val="10"/>
        <rFont val="Arial"/>
        <family val="2"/>
      </rPr>
      <t>Cradle to Cradle</t>
    </r>
    <r>
      <rPr>
        <sz val="10"/>
        <rFont val="Arial"/>
        <family val="2"/>
      </rPr>
      <t xml:space="preserve"> per a productes que s'ajusten als principis de l'economia circular, i la Fundació Ellen MacArthur difon informació sobre l'economia circular i com implementar-la.
Catalunya Circular és el hub d’innovació i punt de trobada d’empreses i institucions que aporten solucions i estratègies per consolidar l’economia circular a Catalunya.</t>
    </r>
  </si>
  <si>
    <r>
      <t xml:space="preserve">Per a productes físics, alguns dels impactes més significatius sovint estan relacionats amb els materials necessaris per a la seva producció i els residus generats després del seu ús. Les empreses del sector del comerç poden millorar el seu acompliment en sostenibilitat en seleccionar productes fets de materials respectuosos envers el medi ambient i dissenyats per facilitar-ne el manteniment, la reparació i el reciclatge. A la Unió Europea, s'ha desenvolupat un pla d'acció per promoure l'economia circular i reduir la quantitat de residus enviats a abocadors. En aquest context, l'ecodisseny o disseny per a la circularitat és fonamental, ja que la manera en què es dissenya un producte té un gran impacte sobre la seva capacitat posterior de ser reciclat. Hi ha certificacions com </t>
    </r>
    <r>
      <rPr>
        <i/>
        <sz val="10"/>
        <rFont val="Arial"/>
        <family val="2"/>
      </rPr>
      <t>Cradle to Cradle</t>
    </r>
    <r>
      <rPr>
        <sz val="10"/>
        <rFont val="Arial"/>
        <family val="2"/>
      </rPr>
      <t xml:space="preserve"> per a productes que s'ajusten als principis de l'economia circular, i la Fundació Ellen MacArthur difon informació sobre l'economia circular i com implementar-la.
Catalunya Circular és el hub d’innovació i punt de trobada d’empreses i institucions que aporten solucions i estratègies per consolidar l’economia circular a Catalunya.</t>
    </r>
  </si>
  <si>
    <t>Per a productes físics, alguns dels impactes més significatius sovint estan relacionats amb els materials necessaris per a la seva producció i els residus generats després del seu ús. Les empreses del sector del comerç poden millorar el seu acompliment en sostenibilitat en seleccionar productes fets de materials respectuosos envers el medi ambient i dissenyats per facilitar-ne el manteniment, la reparació i el reciclatge. A la Unió Europea, s'ha desenvolupat un pla d'acció per promoure l'economia circular i reduir la quantitat de residus enviats a abocadors. En aquest context, l'ecodisseny o disseny per a la circularitat és fonamental, ja que la manera en què es dissenya un producte té un gran impacte sobre la seva capacitat posterior de ser reciclat.
Catalunya Circular és el hub d’innovació i punt de trobada d’empreses i institucions que aporten solucions i estratègies per consolidar l’economia circular a Catalunya.
Hi ha certificacions com Cradle to Cradle per a productes que s'ajusten als principis de l'economia circular, i la Fundació Ellen MacArthur difon informació sobre l'economia circular i com implementar-la.</t>
  </si>
  <si>
    <t>Lean &amp; Green és la principal plataforma europea de col·laboració dissenyada per reduir les emissions associades a les operacions logístiques. Aquesta iniciativa dona suport a les empreses en la reducció de les emissions de gasos amb efecte d'hivernacle (GEH) mitjançant objectius quantitatius en diversos passos. L'objectiu final és aconseguir la neutralitat de carboni per a l'any 2050 a través d'una col·laboració intensiva en la plataforma i la transferència de coneixements entre els membres a escala internacional. Aquesta iniciativa no només contribueix a la reducció d'emissions, sinó que també amplia la xarxa de contactes de l'empresa i proporciona transparència i traçabilitat a possibles clients.</t>
  </si>
  <si>
    <t>Medi ambient - compra sostenible</t>
  </si>
  <si>
    <r>
      <t>És important avaluar la sostenibilitat dels possibles proveïdors i donar prioritat a aquells que tenen el millor acompliment en aspectes ambientals, socials i de governança (ASG). Per garantir la compra sostenible, les empreses poden establir una política de compra sostenible per a tots els seus proveïdors, avaluar i prioritzar els proveïdors segons el seu acompliment en ASG i certificacions de sostenibilitat de productes, com l'EU Ecolabel, i col·laborar per assegurar una millora contínua, entre altres mesures. Actualment, la Unió Europea està desenvolupant legislació per exigir a les grans empreses que garanteixin la sostenibilitat en les seves compres, en forma del CSDDD (</t>
    </r>
    <r>
      <rPr>
        <i/>
        <sz val="10"/>
        <rFont val="Arial"/>
        <family val="2"/>
      </rPr>
      <t>Corporate Sustainable Due Diligence Directive</t>
    </r>
    <r>
      <rPr>
        <sz val="10"/>
        <rFont val="Arial"/>
        <family val="2"/>
      </rPr>
      <t>).</t>
    </r>
  </si>
  <si>
    <t>Social - Estratègia Catalana per a l'ocupació de qualitat</t>
  </si>
  <si>
    <t>Medi ambient- circularitat</t>
  </si>
  <si>
    <t>- Pròximitat mitjana dels proveïdors
- Materials d'embalatge (tipus i quantitat)
- Reciclabilitat dels materials
- Certificacions de sostenibilitat (Rainforest Alliance, Fairtrade, etc.)
- Impacte sobre la biodiversitat (espècies de peix, etc.)
- Consum d'aigua
- Petjada de carboni
- % pèrdues/malbaratament alimentari generades en relació amb l'entrada de productes
- Costos estalviats per l'aprofitament dels productes enretirats que no han esdevingut pèrdues/malbaratament alimentaris</t>
  </si>
  <si>
    <t>- Consistència en la preparació
- Nombre i contingut de queixes i reclamacions
- Maneig d'al·lèrgens
- Seguiment de caducitat i venciment
- Seguretat en la manipulació dels aliments
- Higiene i neteja
- Disponibilitat de caixa forta o similar per guardar possessions</t>
  </si>
  <si>
    <t>- Generació total de residus
- Generació de residus perillosos
- Generació de residus no perillosos
- % de residus destinats a eliminació
- % de residus destinats a reutilització o reciclatge
- % de productes dissenyats segons principis d'ecodisseny
- % de pèrdues/malbaratament alimentaris generades en relació amb el volum de negoci de l'organització
- % generació de pèrdues/malbaratament alimentaris per procés</t>
  </si>
  <si>
    <t>- Taxa de reciclatge
- Taxa de compostatge
- Taxa de reducció de residus
- Residus per client
- Percentatge de residus separats adequadament
- Pes de residus en categoria restant i la seva reducció a través del temps
- Reducció de residus alimentaris
- Compliment dels protocols de materials perillosos
- % de pèrdues/malbaratament alimentaris generades en relació amb el volum de negoci de l'organització
- % generació de pèrdues/malbaratament alimentaris per procés</t>
  </si>
  <si>
    <t xml:space="preserve">- Generació total de residus
- Generació de residus perillosos
- Generació de residus no perillosos
- % de residus destinats a eliminació
- % de residus destinats a reutilització o reciclatge
- % de residus destinats a compostatge
- % de productes dissenyats segons principis d'ecodisseny
</t>
  </si>
  <si>
    <t>Serveis d'allotjaments i serveis de menjars i begudes (hoteleria)</t>
  </si>
  <si>
    <r>
      <t xml:space="preserve">Consulteu informació sobre el certificat </t>
    </r>
    <r>
      <rPr>
        <i/>
        <u/>
        <sz val="10"/>
        <color theme="10"/>
        <rFont val="Arial"/>
        <family val="2"/>
      </rPr>
      <t>Cradle to Cradle</t>
    </r>
  </si>
  <si>
    <r>
      <t>Consulteu més informació sobre normativa catalana en matèria de residus</t>
    </r>
    <r>
      <rPr>
        <u/>
        <sz val="10"/>
        <color theme="10"/>
        <rFont val="Arial"/>
        <family val="2"/>
      </rPr>
      <t xml:space="preserve">
</t>
    </r>
  </si>
  <si>
    <t>Consulteu informació en normativa catalana en matèria de residus</t>
  </si>
  <si>
    <t>Consulteu informació sobre la normativa catalana en matèria de residus</t>
  </si>
  <si>
    <t>Consulteu informació sobre normativa catalana en matèria de residus</t>
  </si>
  <si>
    <t xml:space="preserve">L'Agència de Residus de Catalunya té competència sobre els residus que es generen a Catalunya i els que es gestionen al seu àmbit territorial. Queden exclosos de la seva competència els residus radioactius, els residus resultants de la prospecció, l’extracció, el tractament i l’emmagatzematge de recursos minerals i de l’explotació de pedreres, els residus d’explotacions agrícoles i ramaderes que no siguin perillosos i s’utilitzin exclusivament en el marc de l’explotació agrària, els explosius desclassificats, les aigües residuals i els efluents gasosos emesos a l’atmosfera. </t>
  </si>
  <si>
    <t>Medi ambient - residus</t>
  </si>
  <si>
    <t>Consulteu informació sobre runes, terres i altres residus de la construcció</t>
  </si>
  <si>
    <t>El volum de residus de la construcció generats a Catalunya és important tot i que, per les seves característiques, tenen un gran potencial pel que fa a la reutilització i el reciclatge. Aquests residus disposen d’un programa de gestió i d’un model de gestió específics orientats a la prevenció, al reciclatge i a l’impuls dels mercats per a materials reciclats.</t>
  </si>
  <si>
    <r>
      <rPr>
        <sz val="10"/>
        <rFont val="Arial"/>
        <family val="2"/>
      </rPr>
      <t>Aquest sector representa el codi CNAE 47 i les seves subindústries, incloent-hi totes les empreses de comerç al detall, tret de la venda i reparació de vehicles.</t>
    </r>
    <r>
      <rPr>
        <sz val="11"/>
        <rFont val="Calibri"/>
        <family val="2"/>
        <scheme val="minor"/>
      </rPr>
      <t xml:space="preserve">
</t>
    </r>
  </si>
  <si>
    <r>
      <rPr>
        <sz val="10"/>
        <rFont val="Arial"/>
        <family val="2"/>
      </rPr>
      <t>La indústria d'hoteleria és una combinació dels codis CNAE 55 (serveis d'allotjaments) i 56 (serveis d'aliments i begudes).</t>
    </r>
    <r>
      <rPr>
        <sz val="11"/>
        <rFont val="Calibri"/>
        <family val="2"/>
        <scheme val="minor"/>
      </rPr>
      <t xml:space="preserve">
</t>
    </r>
  </si>
  <si>
    <r>
      <rPr>
        <sz val="10"/>
        <rFont val="Arial"/>
        <family val="2"/>
      </rPr>
      <t>Aquest sector representa el CNAE 68, serveis immobiliaris. Això inclou la compravenda de béns immobles per compte propi, el lloguer de béns immobles per compte propi i les activitats immobiliàries per compte de tercers.</t>
    </r>
    <r>
      <rPr>
        <sz val="11"/>
        <rFont val="Calibri"/>
        <family val="2"/>
        <scheme val="minor"/>
      </rPr>
      <t xml:space="preserve">
</t>
    </r>
  </si>
  <si>
    <r>
      <rPr>
        <sz val="10"/>
        <rFont val="Arial"/>
        <family val="2"/>
      </rPr>
      <t>Aquesta categoria representa el CNAE 78, les activitats relacionades amb l'ocupació.</t>
    </r>
    <r>
      <rPr>
        <sz val="11"/>
        <rFont val="Calibri"/>
        <family val="2"/>
        <scheme val="minor"/>
      </rPr>
      <t xml:space="preserve">
</t>
    </r>
  </si>
  <si>
    <r>
      <rPr>
        <sz val="10"/>
        <rFont val="Arial"/>
        <family val="2"/>
      </rPr>
      <t>Aquest sector representa el codi CNAE 86, activitats sanitàries. Aquesta categoria aborda tot tipus d'activitats sanitàries, incloent hospitals, dentistes, clíniques, etc.</t>
    </r>
    <r>
      <rPr>
        <sz val="11"/>
        <rFont val="Calibri"/>
        <family val="2"/>
        <scheme val="minor"/>
      </rPr>
      <t xml:space="preserve">
</t>
    </r>
  </si>
  <si>
    <r>
      <rPr>
        <sz val="10"/>
        <rFont val="Arial"/>
        <family val="2"/>
      </rPr>
      <t>Aquest sector representa el codi CNAE 45, que es refereix a les empreses de venda i reparació de vehicles motoritzats.</t>
    </r>
    <r>
      <rPr>
        <sz val="11"/>
        <rFont val="Calibri"/>
        <family val="2"/>
        <scheme val="minor"/>
      </rPr>
      <t xml:space="preserve">
</t>
    </r>
  </si>
  <si>
    <t xml:space="preserve">A partir de l'1 de gener de 2023, va entrar en vigor la Llei 7/2022, de 8 d'abril, de residus i sòls contaminats per una economia circular, que amplia la responsabilitat del productor de residus fins que aquests residus hagin estat gestionats per un gestor final. Això té implicacions per a totes les empreses que generen residus, ja que s'han d'assegurar que els residus siguin tractats o eliminats de manera adequada. A més, la Llei estableix que el productor de residus ha de fer separacions mínimes o garantir que un gestor les realitzi. També se li exigeix prioritzar la prevenció de la generació de residus per sobre de la reutilització, i aquesta per sobre del reciclatge, i aquest últim per sobre de l'eliminació. Finalment, s'han de donar prioritat als gestors ubicats geogràficament a prop.
L'Agència de Residus de Catalunya té competència sobre els residus que es generen a Catalunya i els que es gestionen al seu àmbit territorial. Queden exclosos de la seva competència els residus radioactius, els residus resultants de la prospecció, l’extracció, el tractament i l’emmagatzematge de recursos minerals i de l’explotació de pedreres, els residus d’explotacions agrícoles i ramaderes que no siguin perillosos i s’utilitzin exclusivament en el marc de l’explotació agrària, els explosius desclassificats, les aigües residuals i els efluents gasosos emesos a l’atmosfera. </t>
  </si>
  <si>
    <t xml:space="preserve">A partir de l'1 de gener de 2023, va entrar en vigor la Llei 7/2022, de 8 d'abril, de residus i sòls contaminats per una economia circular, que amplia la responsabilitat del productor de residus fins que aquests residus hagin estat gestionats per un gestor final. Això té implicacions per a totes les empreses que generen residus, ja que s'han d'assegurar que els residus siguin tractats o eliminats de manera adequada. A més, la Llei estableix que el productor de residus ha de fer separacions mínimes o garantir que un gestor les realitzi. També se li exigeix prioritzar la prevenció de la generació de residus per sobre de la reutilització, i aquesta per sobre del reciclatge, i aquest últim per sobre de l'eliminació. Finalment, s' han de donar prioritat als gestors ubicats geogràficament a prop.
L'Agència de Residus de Catalunya té competència sobre els residus que es generen a Catalunya i els que es gestionen al seu àmbit territorial. Queden exclosos de la seva competència els residus radioactius, els residus resultants de la prospecció, l’extracció, el tractament i l’emmagatzematge de recursos minerals i de l’explotació de pedreres, els residus d’explotacions agrícoles i ramaderes que no siguin perillosos i s’utilitzin exclusivament en el marc de l’explotació agrària, els explosius desclassificats, les aigües residuals i els efluents gasosos emesos a l’atmosfera. </t>
  </si>
  <si>
    <r>
      <t xml:space="preserve">
</t>
    </r>
    <r>
      <rPr>
        <b/>
        <sz val="18"/>
        <color theme="4" tint="-0.249977111117893"/>
        <rFont val="Arial"/>
        <family val="2"/>
      </rPr>
      <t>Mapa de materialitat Ambiental,
Social i de Governança (ASG) per a la PIME
per sector econòmic</t>
    </r>
    <r>
      <rPr>
        <sz val="18"/>
        <rFont val="Arial"/>
        <family val="2"/>
      </rPr>
      <t xml:space="preserve">
</t>
    </r>
  </si>
  <si>
    <t xml:space="preserve">A partir de l'1 de gener de 2023, va entrar en vigor la Llei 7/2022, de 8 d'abril, de residus i sòls contaminats per una economia circular, que amplia la responsabilitat del productor de residus fins que aquests residus hagin estat gestionats per un gestor final. Això té implicacions per a totes les empreses que generen residus, ja que s'han d'assegurar que els residus siguin tractats o eliminats de manera adequada. A més, la llei estableix que el productor de residus ha de fer separacions mínimes o garantir que un gestor les realitzi. També se li exigeix prioritzar la prevenció de la generació de residus per sobre de la reutilització, i aquesta per sobre del reciclatge, i aquest últim per sobre de l'eliminació. Finalment, s'ha de donar prioritat als gestors ubicats geogràficament a prop.
L'Agència de Residus de Catalunya té competència sobre els residus que es generen a Catalunya i els que es gestionen al seu àmbit territorial. Queden exclosos de la seva competència els residus radioactius, els residus resultants de la prospecció, l’extracció, el tractament i l’emmagatzematge de recursos minerals i de l’explotació de pedreres, els residus d’explotacions agrícoles i ramaderes que no siguin perillosos i s’utilitzin exclusivament en el marc de l’explotació agrària, els explosius desclassificats, les aigües residuals i els efluents gasosos emesos a l’atmosfera. </t>
  </si>
  <si>
    <t>A partir de l'1 de gener de 2023, va entrar en vigor la Llei 7/2022, de 8 d'abril, de residus i sòls contaminats per una economia circular, que amplia la responsabilitat del productor de residus fins que aquests residus hagin estat gestionats per un gestor final. Això té implicacions per a totes les empreses que generen residus, ja que s'han d'assegurar que els residus siguin tractats o eliminats de manera adequada. A més, la Llei estableix que el productor de residus ha de fer separacions mínimes o garantir que un gestor les realitzi. També se li exigeix prioritzar la prevenció de la generació de residus per sobre de la reutilització, i aquesta per sobre del reciclatge, i aquest últim per sobre de l'eliminació. Finalment, s' han de donar prioritat als gestors ubicats geogràficament a prop.</t>
  </si>
  <si>
    <t>Impactes ambientals - sistema de gestió ambiental</t>
  </si>
  <si>
    <t>Medi ambient - eficiència energètica</t>
  </si>
  <si>
    <t>Medi ambient - materials d'embalatge</t>
  </si>
  <si>
    <r>
      <t xml:space="preserve">Atès que la indústria manufacturera produeix productes físics, els materials d'embalatge utilitzats per al transport i la distribució d'aquests productes són un factor crucial amb un impacte potencialment significatiu. Per aquesta raó, la Unió Europea ha implementat una nova legislació que requereix la reducció de l'ús de plàstics d'un sol ús i en prohibeix certes aplicacions. A més, des de l'1 de gener, va entrar en vigor la Llei 7/2022, que estableix un nou impost sobre els envasos de plàstic no reutilitzables. Per tant, és important cercar materials d'embalatge que generin un menor impacte sobre el medi ambient, adaptats a l'aplicació i la ubicació geogràfica dels productes. La </t>
    </r>
    <r>
      <rPr>
        <i/>
        <sz val="10"/>
        <rFont val="Arial"/>
        <family val="2"/>
      </rPr>
      <t>Sustainable Packaging Coalition</t>
    </r>
    <r>
      <rPr>
        <sz val="10"/>
        <rFont val="Arial"/>
        <family val="2"/>
      </rPr>
      <t xml:space="preserve"> ofereix diverses iniciatives destinades a ajudar les empreses a reduir l'impacte ambiental dels seus envasos.</t>
    </r>
  </si>
  <si>
    <t>Optar per actius o productes amb característiques d'eficiència i durabilitat contribueix a la reducció del consum de recursos i a la minimització de residus. Això no només té un impacte positiu sobre l'empremta ambiental, sinó que també pot generar estalvis operatius a llarg termini. Un exemple destacat és l'EU Ecolabel, una certificació ecològica reconeguda a la Unió Europea. Els productes que tenen aquesta etiqueta compleixen estàndards rigorosos de sostenibilitat en termes d'eficiència, materials i longevitat. En triar articles amb l'EU Ecolabel, les empreses poden demostrar el seu compromís amb pràctiques responsables i avançar cap a una operació més sostenible i respectuosa envers l'entorn.</t>
  </si>
  <si>
    <t>La compra d'actius o productes</t>
  </si>
  <si>
    <t>Medi ambient - compra sostenible - proveïdors</t>
  </si>
  <si>
    <r>
      <t>És important avaluar la sostenibilitat dels possibles proveïdors i donar prioritat a aquells que tenen el millor acompliment en aspectes ambientals, socials i de governança (ESG). Per garantir la compra sostenible, les empreses poden establir una política de compra sostenible per a tots els seus proveïdors, avaluar i prioritzar els proveïdors segons el seu acompliment en ASG i certificacions de sostenibilitat de productes, com l'EU Ecolabel, i col·laborar per assegurar una millora contínua, entre altres mesures. Actualment, la Unió Europea està desenvolupant legislació per exigir a les grans empreses que garanteixin la sostenibilitat en les seves compres, en forma del CSDDD (</t>
    </r>
    <r>
      <rPr>
        <i/>
        <sz val="10"/>
        <rFont val="Arial"/>
        <family val="2"/>
      </rPr>
      <t>Corporate Sustainable Due Diligence Directive proposal</t>
    </r>
    <r>
      <rPr>
        <sz val="10"/>
        <rFont val="Arial"/>
        <family val="2"/>
      </rPr>
      <t>).</t>
    </r>
  </si>
  <si>
    <r>
      <t>Diversos - Estratègia UE De la granja a taula (</t>
    </r>
    <r>
      <rPr>
        <i/>
        <sz val="10"/>
        <rFont val="Arial"/>
        <family val="2"/>
      </rPr>
      <t>Farm to Fork)</t>
    </r>
  </si>
  <si>
    <r>
      <rPr>
        <i/>
        <sz val="10"/>
        <rFont val="Arial"/>
        <family val="2"/>
      </rPr>
      <t>Rainforest Alliance</t>
    </r>
    <r>
      <rPr>
        <sz val="10"/>
        <rFont val="Arial"/>
        <family val="2"/>
      </rPr>
      <t xml:space="preserve"> és una ONG que promou la producció sostenible de matèries primeres agrícoles. Aquesta organització ofereix una certificació a les empreses del sector alimentari que els permet demostrar el seu compromís i compliment amb pràctiques de producció agrícola sostenible. Els requisits per obtenir aquesta certificació són amplis i abasten aspectes socials, mediambientals i de bon govern. Estableix requisits tant per als actors dins de la cadena de valor que utilitzen les matèries primeres com per als productors. En tots dos casos, s'enfoca en la traçabilitat i la responsabilitat dels negocis. Els requisits per als agricultors inclouen aspectes més concrets relacionats amb la sostenibilitat mediambiental com ara la conservació dels boscos, la gestió de l'aigua, la gestió de residus, l'eficiència energètica o l'ús d'agroquímics, entre d'altres. També incorpora requisits per garantir la sostenibilitat social, com ara el pagament de salaris dignes, la protecció dels infants i el respecte envers les comunitats locals, entre d'altres.</t>
    </r>
  </si>
  <si>
    <t>Bananes, cacau, cafè, fruita, espècies, nous, oli de palma, te</t>
  </si>
  <si>
    <t>Cacau, cafè, sucre, te, bananes, fruites</t>
  </si>
  <si>
    <t>Medi ambient - subministrament de matèries primeres: SAI-FSA</t>
  </si>
  <si>
    <t>Una gran varietat de productes agrícoles</t>
  </si>
  <si>
    <t>Els estàndards de SAI-FSA estableixen un nivell mínim de sostenibilitat per a una àmplia varietat de productes agrícoles. Aquesta certificació és utilitzada per grans empreses per supervisar i garantir la sostenibilitat de la seva cadena de valor. Els requisits de la certificació abasten una àmplia gamma de temes que van des de la gestió sostenible de l'aigua fins a la limitació en l'ús d'agroquímics, passant per la garantia d'un salari digne per als agricultors i el respecte dels drets de les comunitats afectades.</t>
  </si>
  <si>
    <t>Medi ambient - Taula rodona per a l'oli de palma sostenible</t>
  </si>
  <si>
    <t>Oli de palma</t>
  </si>
  <si>
    <t>L'oli de palma és un dels ingredients més comuns en productes alimentaris, entre d'altres. La producció d'aquest oli es duu a terme en països tropicals, on la producció d'oli de palma pot causar un risc per a les selves natives de la zona. Per combatre la deforestació i salvaguardar els drets de comunitats (indigenes) locals, s'ha creat una col·laboració en forma d'una taula rodona per a l'oli de palma sostenible. En aquesta taula rodona, s'han acordat certs principis i criteris per a la producció ambiental i socialment sostenible d'aquesta matèria primera. Qualsevol actor dins de la indústria alimentària hauria d'avaluar aquest ingredient i valorar la sostenibilitat de la seva cadena de valor.</t>
  </si>
  <si>
    <t>Medi ambient - impactes ambientals: agricultura regenerativa</t>
  </si>
  <si>
    <t>Les tècniques d'agricultura tradicional generen impactes ambientals significatius. Els monocultius a gran escala redueixen la biodiversitat i la salut i fertilitat del sòl, la qual cosa afecta els ecosistemes i la fauna que hi habita. Per mitigar aquests impactes, alguns agricultors estan adoptant tècniques agrícoles que preserven i fins i tot regeneren la biodiversitat i la salut dels ecosistemes. Exemples d'aquestes tècniques inclouen l'agricultura regenerativa i l'agroforesteria. Qualsevol empresa que utilitzi ingredients agrícoles en els seus productes finals hauria d'avaluar com contribuir a la reducció d'aquests impactes.</t>
  </si>
  <si>
    <r>
      <t xml:space="preserve">El malbaratament dels aliments genera nombrosos impactes socials i ambientals. Atès el creixement constant de persones que necessiten aliments, el malbaratament dels aliments esdevé un problema crític. S'estima que aproximadament el 30% de tots els aliments produïts es malbaraten en algun punt de la cadena de valor. Això implica que els recursos invertits, les emissions i el altres impactes ambientals han estat en va. Per abordar aquest problema, la Comissió Europea ha proposat fites obligatòries de reducció del rebuig d'aliments. A més, hi ha coalicions voluntàries, com la </t>
    </r>
    <r>
      <rPr>
        <i/>
        <sz val="10"/>
        <rFont val="Arial"/>
        <family val="2"/>
      </rPr>
      <t>International Food Waste Coalition</t>
    </r>
    <r>
      <rPr>
        <sz val="10"/>
        <rFont val="Arial"/>
        <family val="2"/>
      </rPr>
      <t>, que comparteixen informació i coneixements sobre la reducció del rebuig d'aliments entre els seus socis.</t>
    </r>
  </si>
  <si>
    <t>Medi ambient - malbaratament alimentari</t>
  </si>
  <si>
    <t>Diversos - millors tecnologies disponibles</t>
  </si>
  <si>
    <t>L'adopció de les millors tecnologies disponibles, recolzades pels documents BREF, és de summa rellevància per a la indústria d'aliments i begudes en termes de sostenibilitat. Aquestes tecnologies avançades optimitzen l'eficiència dels processos, redueixen el consum de recursos i minimitzen la generació de residus i emissions. En seguir les directrius dels documents BREF, les empreses poden millorar el seu acompliment en sostenibilitat i alinear-se amb els estàndards europeus reconeguts. A més, aquestes pràctiques milloren la imatge de marca en demostrar un compromís ambiental i social, la qual cosa atrau consumidors preocupats per la sostenibilitat.</t>
  </si>
  <si>
    <t>Els requisits de divulgació d'informació no financera, especialment pel que fa a la sostenibilitat, estan guanyant rellevància tant per a inversors com per a organismes públics. Aquesta tendència es troba estretament vinculada amb les regulacions de la Unió Europea en el marc del Pla de finances sostenibles i el Pacte verd. Tant la Directiva d'informació empresarial sostenible (CSRD) com la Llei 11/2018 harmonitzen els requisits de divulgació per a les grans empreses. Aquestes i altres iniciatives estan generant un efecte dominó sobre les cadenes de valor i el sistema financer, la qual cosa està portant a una major demanda d'informació per part d'empreses de totes les mides. Per tant, la divulgació d'informació sobre sostenibilitat reforça la posició d'una empresa en el mercat. Per a les petites i mitjanes empreses (PIME) que volen començar a divulgar informació no financera, el marc de referència GRI pot servir com a base.</t>
  </si>
  <si>
    <t>Medi ambient - emissions de GEH</t>
  </si>
  <si>
    <t>Calcular la petjada de carboni i adoptar fonts d'energia renovable beneficia les empreses de diverses maneres. Avaluar la petjada de carboni demostra un compromís ambiental sòlid, cosa que enforteix la reputació de l'empresa i atrau clients que valoren la sostenibilitat. La instal·lació de fonts d'energia renovable, com ara panells solars, no només redueix els costos a llarg termini, sinó que també disminueix la dependència envers els combustibles fòssils, cosa que al seu torn ajuda a mitigar l'impacte ambiental.
A més d' aquests beneficis, complir objectius d'energia sostenible pot generar incentius fiscals i subvencions que milloren la rendibilitat de l'empresa. Aquestes accions no només aporten beneficis econòmics i ambientals, sinó que també reforcen la responsabilitat social de l'empresa i la posicionen com a líder en pràctiques empresarials sostenibles.</t>
  </si>
  <si>
    <t>L'empresa ha d'establir una política de protecció de dades alineada amb la Llei de protecció de dades de la UE. Tot el personal ha de rebre formació per gestionar dades del client de manera adequada i hi ha d'haver un protocol de contingència per a casos d' emergència. Adjunt a la columna de fonts trobareu un exemple d'una política de protecció de dades de l'Agència Catalana de Turisme.</t>
  </si>
  <si>
    <t>L'empresa ha d'establir un codi de conducta per als seus proveïdors i altres actors en la cadena de valor del negoci. Aquest codi ha de ser signat pels proveïdors i exigir-ne el compliment amb els estàndards de bon govern establerts en el document. Es recomana alinear aquest codi de conducta amb el codi de conducta intern, encara que en certs casos es pot permetre certa flexibilitat, sempre que continuï estant conforme amb les regulacions vigents relacionades amb la cadena de valor com ara aquelles relacionades amb la no deforestació, els drets humans o les emissions de carboni, entre d'altres. A la columna 'Fonts' adjunta, trobareu un exemple d'un codi de conducta/ètic per a proveïdors del Pacte Mundial de Nacions Unides.</t>
  </si>
  <si>
    <t>Social - Pla d'igualtat de gènere</t>
  </si>
  <si>
    <t>Empreses amb més de 50 treballadors</t>
  </si>
  <si>
    <t>Atès que la indústria manufacturera produeix productes físics, els materials d'embalatge utilitzats per al transport i la distribució d' aquests productes són un factor crucial amb un impacte potencialment significatiu. Per aquesta raó, la Unió Europea ha implementat una nova legislació que requereix la reducció de l'ús de plàstics d'un sol ús i en prohibeix certes aplicacions. A més, des de l'1 de gener, va entrar en vigor la Llei 7/2022, que estableix un nou impost sobre els envasos de plàstic no reutilitzables. Per tant, és important cercar materials d'embalatge que generin un menor impacte sobre el medi ambient adaptats a l'aplicació i la ubicació geogràfica dels productes. La 'Sustainable Packaging Coalition' ofereix diverses iniciatives destinades a ajudar les empreses a reduir l'impacte ambiental dels seus envasos.</t>
  </si>
  <si>
    <t>Diversos - Etiqueta ecològica UE</t>
  </si>
  <si>
    <t>Diversos - estàndard global de reciclatge</t>
  </si>
  <si>
    <r>
      <t xml:space="preserve">El </t>
    </r>
    <r>
      <rPr>
        <i/>
        <sz val="10"/>
        <rFont val="Arial"/>
        <family val="2"/>
      </rPr>
      <t>Global Recycling Standard</t>
    </r>
    <r>
      <rPr>
        <sz val="10"/>
        <rFont val="Arial"/>
        <family val="2"/>
      </rPr>
      <t xml:space="preserve"> és un marc important per als actors del sector que cerquen establir un nivell de sostenibilitat dins de la seva cadena de valor. Diverses empreses exigeixen complir el </t>
    </r>
    <r>
      <rPr>
        <i/>
        <sz val="10"/>
        <rFont val="Arial"/>
        <family val="2"/>
      </rPr>
      <t>Global Recycling Standard</t>
    </r>
    <r>
      <rPr>
        <sz val="10"/>
        <rFont val="Arial"/>
        <family val="2"/>
      </rPr>
      <t xml:space="preserve"> per assegurar estàndards mínims de sostenibilitat, socials i de bon govern. Els temes ambientals se centren en emissions de GEH, eficiència energètica, gestió de residus, circularitat, gestió sostenible de l'aigua i sistemes de gestió ambiental, entre d'altres. Els temes socials del </t>
    </r>
    <r>
      <rPr>
        <i/>
        <sz val="10"/>
        <rFont val="Arial"/>
        <family val="2"/>
      </rPr>
      <t>Global Recycling Standard</t>
    </r>
    <r>
      <rPr>
        <sz val="10"/>
        <rFont val="Arial"/>
        <family val="2"/>
      </rPr>
      <t xml:space="preserve"> s'enfoquen a establir bones condicions laborals, respectar els drets humans al llarg de la cadena de valor i ser un ocupador inclusiu.</t>
    </r>
  </si>
  <si>
    <t>Diversos: Certificat de comerç just</t>
  </si>
  <si>
    <t>Originalment, la certificació Fairtrade se centrava principalment en aspectes socials amb l'objectiu de defensar els drets dels treballadors en la cadena de valor. Alguns dels temes socials incorporats en la certificació Fairtrade són antidiscriminació, protecció de nens, condicions laborals (incloent-hi retribució justa i hores limitades) i seguretat laboral. Avui, la certificació Fairtrade també inclou temes ambientals; per al sector de tèxtil, això inclou aigües residuals, gestió de químics, emissions i consum energètic, entre d'altres. Addicionalment, advoquen per la traçabilitat en la cadena de valor i pràctiques de negocis responsables.</t>
  </si>
  <si>
    <t>Diversos - estàndard tèxtil orgànic global (GOTS)</t>
  </si>
  <si>
    <r>
      <t xml:space="preserve">El </t>
    </r>
    <r>
      <rPr>
        <i/>
        <sz val="10"/>
        <rFont val="Arial"/>
        <family val="2"/>
      </rPr>
      <t>Global Organic Textile Standard</t>
    </r>
    <r>
      <rPr>
        <sz val="10"/>
        <rFont val="Arial"/>
        <family val="2"/>
      </rPr>
      <t xml:space="preserve"> té com a objectiu establir una definició uniforme de tèxtils orgànics dins del mercat. Els estàndards defineixen els materials permesos dins de productes tèxtils organics i els requisits per a l'ús de químics. Addicionalment, estableixen requisits socials per combatre el treball forçós, el treball infantil i la discriminació. Addicionalment, promouen la gestió sostenible dels residus, l'equitat de gènere, la seguretat i les condicions laborals (incloent-hi remuneració justa i hores laborals).</t>
    </r>
  </si>
  <si>
    <t>Medi ambient - seguretat química, entre d'altres: OEKO TEX</t>
  </si>
  <si>
    <t>En la indústria tèxtil, l'adopció de les millors tecnologies disponibles en línia amb els documents BREF és crucial per potenciar l'acompliment de sostenibilitat. Aquestes tecnologies avançades optimitzen la producció, redueixen l'ús de recursos naturals i disminueixen la generació de residus i emissions. En seguir les directrius dels documents BREF, les empreses tèxtils poden millorar la seva eficiència i responsabilitat ambiental i s'alineen amb estàndards reconeguts a escala europea. A més, la implementació d'aquestes pràctiques sostenibles millora la reputació de l' empresa en respondre a la creixent demanda de consumidors conscients i ètics. En sintonia amb això, l'adopció de tecnologies recolzades pels documents BREF impulsa la competitivitat, la sostenibilitat i la imatge de marca en la indústria tèxtil.</t>
  </si>
  <si>
    <t>A partir de l'1 de gener de 2023, va entrar en vigor la Llei 7/2022, de 8 d'abril, de residus i sòls contaminats per una economia circular, que amplia la responsabilitat del productor de residus fins que aquests residus hagin estat gestionats per un gestor final. Això té implicacions per a totes les empreses que generen residus, ja que s'han d'assegurar que els residus siguin tractats o eliminats de manera adequada. A més, la Llei estableix que el productor de residus ha de fer separacions mínimes o garantir que un gestor les realitzi. També se li exigeix prioritzar la prevenció de la generació de residus per sobre de la reutilització, i aquesta per sobre del reciclatge, i aquest últim per sobre de l'eliminació. Finalment, s'han de donar prioritat als gestors ubicats geogràficament a prop.
L'Agència de Residus de Catalunya té competència sobre els residus que es generen a Catalunya i els que es gestionen al seu àmbit territorial. Queden exclosos de la seva competència els residus radioactius, els residus resultants de la prospecció, l’extracció, el tractament i l’emmagatzematge de recursos minerals i de l’explotació de pedreres, els residus d’explotacions agrícoles i ramaderes que no siguin perillosos i s’utilitzin exclusivament en el marc de l’explotació agrària, els explosius desclassificats, les aigües residuals i els efluents gasosos emesos a l’atmosfera. D34</t>
  </si>
  <si>
    <t xml:space="preserve">Diversos - etiqueta ecològica </t>
  </si>
  <si>
    <t>Paper gràfic, paper tissú i productes tissú, papereria, paper impresa i bosses de paper</t>
  </si>
  <si>
    <t>Paper i fusta</t>
  </si>
  <si>
    <t>Atès que les matèries primeres d'aquests sectors poden tenir un impacte ambiental substancial, hi ha diverses certificacions que tracten d'establir normes de bona gestió ambiental en la cadena de valor. Les certificacions FSC, PEFC i SFI exigeixen una gestió sostenible dels boscos i el respecte als drets de les comunitats locals (indigenes), projecten els serveis ecosistèmics que brinden els boscos i mantenen alts valors de conservació. Addicionalment, tracten de promoure l'ús de paper reciclat en els productes de paper.</t>
  </si>
  <si>
    <t>Medi ambient - gestió de residus -
EN 643</t>
  </si>
  <si>
    <t>L'estàndard EN 643 defineix les diferents qualitats de paper per a reciclatge i estableix criteris sobre què poden contenir els diversos graus de qualitat. Això ajuda venedors i compradors de paper reciclat a determinar la qualitat del producte ofert. Un dels criteris clau és la tolerància zero per a productes no relacionats amb el paper i materials no utilitzables. A més, és important que el paper pugui ser destintat amb facilitat, cosa que garanteix la seva reciclabilitat.</t>
  </si>
  <si>
    <t>Medi ambient - subministrament de matèries primeres: regulació contra la desforestació</t>
  </si>
  <si>
    <t>En les indústries de paper i fusta, és de summa importància adoptar les millors tecnologies disponibles, en línia amb els documents BREF, per millorar l'acompliment de sostenibilitat. Aquestes tecnologies avançades optimitzen l'eficiència dels processos de producció, redueixen el consum de recursos naturals i minimitzen les emissions de substàncies nocives. En seguir les directrius dels documents BREF, les empreses poden alinear les seves pràctiques amb estàndards europeus reconeguts, i millorar així la seva responsabilitat ambiental. A més, aquestes pràctiques sostenibles reforcen la imatge de l'empresa en demostrar un compromís real envers la protecció del medi ambient i atrauen consumidors conscients de la sostenibilitat.</t>
  </si>
  <si>
    <r>
      <t xml:space="preserve">En el cas de productes físics, els impactes principals solen estar relacionats amb els materials necessaris per a la producció i els residus generats després del seu ús. Les empreses de comerç poden millorar el seu acompliment en sostenibilitat seleccionant productes fets de materials respectuosos envers el medi ambient i dissenyats per facilitar el manteniment, la reparació i el reciclatge. La Unió Europea ha desenvolupat un pla d'acció per promoure l'economia circular i reduir la quantitat de residus abocats. Dins d'aquest enfocament, l'ecodisseny o el disseny per a la circularitat són de gran importància, ja que el disseny d'un producte influeix en gran mesura en la seva capacitat posterior per ser reciclat.
Catalunya Circular és el hub d’innovació i punt de trobada d’empreses i institucions que aporten solucions i estratègies per consolidar l’economia circular a Catalunya.
La certificació </t>
    </r>
    <r>
      <rPr>
        <i/>
        <sz val="10"/>
        <rFont val="Arial"/>
        <family val="2"/>
      </rPr>
      <t>Cradle to Cradle</t>
    </r>
    <r>
      <rPr>
        <sz val="10"/>
        <rFont val="Arial"/>
        <family val="2"/>
      </rPr>
      <t xml:space="preserve"> s'atorga a productes que compleixen els principis de l'economia circular, i la Fundació Ellen MacArthur proporciona informació sobre l'economia circular i com implementar-la.</t>
    </r>
  </si>
  <si>
    <t>Impacte ambiental - sistema de gestió ambiental</t>
  </si>
  <si>
    <t>Captació, depuració, tractament i distribució d'aigua</t>
  </si>
  <si>
    <t>La taxonomia defineix quines activitats econòmiques es consideren sostenibles dins la Unió Europea. Complir els criteris pot ajudar a millorar l'accés a finançament per a l'empresa o per a projectes específics que hi estiguin alineats. En el cas de sistemes relacionats amb la captació, depuració i distribució d'aigües, els criteris aborden els temes següents: eficiència energètica, gestió sostenible de l'aigua, adaptació al canvi climàtic, impacte sobre ecosistemes i biodiversitat, entre d'altres.</t>
  </si>
  <si>
    <t>Recollida i transport i valorització de residus</t>
  </si>
  <si>
    <t>La taxonomia defineix quines activitats econòmiques es consideren sostenibles dins la Unió Europea. Complir els criteris pot ajudar a millorar l'accés a finançament per a l'empresa o per a projectes específics que hi estiguin alineats a mitjà termini. En el cas de sistemes relacionats amb la captació, depuració i distribució d'aigües, els criteris aborden els temes següents: percentatge de residus valoritzats, separació dels residus, mitigació del canvi climàtic, adaptació al canvi climàtic i prevenció de la contaminació o altres impactes ambientals. Pel que fa a la gestió de residus, s'enfoca principalmente en aspectes qualitatius de la manera de gestionar-los (segregació en origen, recuperació material, etc.).</t>
  </si>
  <si>
    <t>Tractament de residus</t>
  </si>
  <si>
    <t>Medi ambient - gestió de residus: EC 2150/2002</t>
  </si>
  <si>
    <t>Dins de la Unió Europea, hi ha un sistema uniforme per registrar els residus, cosa que permet rastrejar-los per tipus, des de l'empresa que els genera fins als gestors de residus. Aquest sistema es va establir en la legislació EC 2150/2002 i és fonamental per portar un registre coherent de la quantitat de residus tractats pels gestors de residus.</t>
  </si>
  <si>
    <t>La Llei 07/2022, de 8 d'abril, de residus i sòls contaminats per una economia circular, amplia la responsabilitat del productor de residus, la qual cosa podria implicar requisits més rigorosos per a la seva gestió. A més, estableix l'obligació de realitzar separacions de residus en els casos en què el productor no ho faci; en el seu lloc, el productor haurà de garantir que un gestor de residus realitzi aquesta separació. També cal que se segueixi la jerarquia de residus, la qual cosa pot influir en les activitats dels gestors de residus. Finalment, la Llei introdueix la necessitat de buscar gestors de residus geogràficament propers, la qual cosa pot presentar tant oportunitats com desafiaments. Això podria propiciar la captació de clients més propers, tot i que també podria generar una major competència per aquests clients.</t>
  </si>
  <si>
    <t>La circularitat és de summa importància per als gestors de residus, ja que representa un enfocament transformador en la gestió de deixalles. Adoptar enfocaments circulars implica el pas d'un model lineal de consum i eliminació a un en el qual els materials es reutilitzen, reciclen i reincorporen en la cadena productiva. Això ofereix oportunitats significatives. Els gestors poden generar noves fonts d'ingressos a través de la venda de materials reciclats i l'oferta de serveis de gestió sostenible. A més, es redueixen els costos d'eliminació i es minimitza la pressió sobre els recursos naturals. La circularitat també millora la reputació en mostrar un compromís genuí amb la sostenibilitat, cosa que atrau clients i socis que valoren la responsabilitat ambiental i contribueix a la creació d'un futur més resilient i ecoeficient.
Catalunya Circular és el hub d’innovació i punt de trobada d’empreses i institucions que aporten solucions i estratègies per consolidar l’economia circular a Catalunya.</t>
  </si>
  <si>
    <t>Medi Ambient - Circularitat</t>
  </si>
  <si>
    <t>Medi ambient - emissions de carboni</t>
  </si>
  <si>
    <t>Les emissions de carboni contribueixen al canvi climàtic i tenen un impacte ambiental negatiu significatiu. En reduir aquestes emissions, l'empresa contribueix directament a la mitigació de l'escalfament global. A més, la millora de l'eficiència en el transport pot generar estalvis econòmics en optimitzar les rutes i reduir el consum de combustible. Des d'una perspectiva reputacional, la gestió responsable del transport reflecteix el compromís ambiental de l'empresa i pot atreure clients i socis que valoren la sostenibilitat. És especialment rellevant perquè els clients cerquen reduir les seves petjades de carboni a través de l'abast 3, que inclou la gestió de residus. Per tant, oferir serveis de transport amb baixes emissions pot proporcionar un avantatge competitiu.</t>
  </si>
  <si>
    <t>Diversos- Gestió de residus municipals</t>
  </si>
  <si>
    <t>És essencial avaluar la sostenibilitat dels possibles proveïdors i donar prioritat a aquells que demostrin un sòlid acompliment en aspectes ambientals, socials i de govern corporatiu, coneguts com a ASG.
Per garantir la compra sostenible, les empreses poden establir una política de compres sostenibles que s'apliqui a tots els seus proveïdors. Això implica avaluar i prioritzar els proveïdors segons el seu acompliment en àrees ASG i buscar certificacions de sostenibilitat de productes, com ara l'EU Ecolabel. A més, es pot fomentar la col·laboració amb els proveïdors per impulsar una millora contínua en matèria de sostenibilitat.
És important destacar que la Unió Europea està treballant actualment en una legislació, coneguda com a CSDDD, que requerirà que les grans empreses assegurin la sostenibilitat en les seves compres. Això subratlla encara més la importància d'adoptar pràctiques de compra sostenible en el mercat actual.</t>
  </si>
  <si>
    <t>Noves construccions</t>
  </si>
  <si>
    <t>Renovació d'edificis existents</t>
  </si>
  <si>
    <t>Instal·lació, manteniment i reparació de tecnologies verdes</t>
  </si>
  <si>
    <t>Les certificacions de BREEAM i LEED són reconegudes internacionalment com a estàndard d'edificacions sostenibles. Aquests marcs contenen requisits ambientals relacionats amb eficiència energètica, emissions, gestió de l'aigua, gestió de materials i circularitat, entre d'altres. Addicionalment, contenen un component social, que exigeix la seguretat de l'edifici per a la salut dels ocupants, accessibilitat, espais verds, una qualitat mínima de l'edificació i inclusivitat, entre d'altres.</t>
  </si>
  <si>
    <t>Medi ambient - renovables i baixes emissions</t>
  </si>
  <si>
    <t>Medi ambient - residus construcció</t>
  </si>
  <si>
    <t>Social -  Codi de bones pràctiques  en la promoció i execució d’obres de construcció</t>
  </si>
  <si>
    <t>Seguretat i qualitat del producte - Homologació de productes en el sector de la construcció</t>
  </si>
  <si>
    <t>Medi Ambient - residus</t>
  </si>
  <si>
    <r>
      <t>És important avaluar la sostenibilitat dels possibles proveïdors i donar prioritat a aquells que tenen el millor acompliment en aspectes ambientals, socials i de governança (ESG). Per garantir la compra sostenible, les empreses poden establir una política de compra sostenible per a tots els seus proveïdors, avaluar i prioritzar els proveïdors segons el seu acompliment en ASG i certificacions de sostenibilitat de productes, com l'EU Ecolabel, i col·laborar per assegurar una millora contínua, entre altres mesures. Actualment, la Unió Europea està desenvolupant legislació per exigir a les grans empreses que garanteixin la sostenibilitat en les seves compres, en forma del CSDDD (</t>
    </r>
    <r>
      <rPr>
        <i/>
        <sz val="10"/>
        <rFont val="Arial"/>
        <family val="2"/>
      </rPr>
      <t>Corporate Sustainable Due Diligence Directive</t>
    </r>
    <r>
      <rPr>
        <sz val="10"/>
        <rFont val="Arial"/>
        <family val="2"/>
      </rPr>
      <t>).</t>
    </r>
  </si>
  <si>
    <t>En el sector de l'arquitectura i enginyeria, l'adopció de tecnologies que permetin generar energia de manera renovable i la implementació de sistemes de climatització de baixes emissions són aspectes cabdals per millorar la sostenibilitat dels edificis. Aquí hi ha una versió revisada de la declaració:
En el sector de la construcció, és de vital importància considerar possibles tecnologies per generar energia de manera renovable i sistemes de climatització de baixes emissions. La generació d'energia renovable, com la solar o l'eòlica, pot ajudar a reduir la dependència de combustibles fòssils i disminuir la petjada de carboni dels edificis. A més, l'atenció creixent se centra en tecnologies de climatització sostenibles, com el disseny de ventilació natural o la utilització de sistemes basats en l'aprofitament d'aigua subterrània. Aquestes mesures no només milloren l'eficiència energètica dels edificis, sinó que també contribueixen significativament a la reducció de les emissions de gasos amb efecte d'hivernacle i, en última instància, a la sostenibilitat del sector de la construcció.</t>
  </si>
  <si>
    <t>Desenvolupament de capital humà</t>
  </si>
  <si>
    <t>El desenvolupament del capital humà és essencial per a una empresa d'arquitectura i serveis d' enginyeria. Invertir en la formació i el creixement dels empleats millora les seves habilitats tècniques i competències, la qual cosa, al seu torn, eleva la qualitat dels projectes i serveis oferts. A més, fomentar un ambient d'aprenentatge promou la innovació i la creativitat, la qual cosa condueix a solucions més efectives i diferenciadores.
Per als nostres empleats, el desenvolupament professional brinda oportunitats de creixement i avanç en les seves carreres, la qual cosa augmenta la seva satisfacció laboral i la seva retenció a l'empresa. També enforteix la seva confiança i compromís envers la nostra organització, la qual cosa influeix positivament en la col·laboració i en la construcció de relacions duradores amb els nostres clients.</t>
  </si>
  <si>
    <t>Medi ambient - oportunitats per a tecnologies sostenibles</t>
  </si>
  <si>
    <t>Medi ambient - subministrament de matèries primeres / productes</t>
  </si>
  <si>
    <t>Social - condicions laborals</t>
  </si>
  <si>
    <t>Proporcionar bones condicions laborals als empleats d'una empresa de venda i reparació de vehicles comporta una sèrie de beneficis significatius. En primer lloc, millora la moral i el compromís dels treballadors. Un entorn laboral positiu i respectuós fomenta la satisfacció i la lleialtat, la qual cosa al seu torn es tradueix en una major productivitat i qualitat en el servei al client.
A més, el benestar dels empleats té un impacte directe sobre l'eficiència operativa. En condicions adequades, els treballadors experimenten menys estrès i fatiga, la qual cosa disminueix la taxa d'errors i accidents laborals i augmenta la seguretat en el taller i en l'atenció al client.
Brindar beneficis com ara horaris flexibles, oportunitats de formació i desenvolupament professional no només contribueix al creixement personal dels empleats, sinó que també augmenta la seva motivació i sentit de pertinença.</t>
  </si>
  <si>
    <t>Social - protecció de dades de clients</t>
  </si>
  <si>
    <t>El Distintiu de garantia de qualitat ambiental és una etiqueta oficial que atorga la Generalitat de Catalunya a productes i serveis que superen determinats requisits de qualitat ambiental més enllà dels establerts com a obligatoris per la normativa vigent i està dissenyat per ajudar els consumidors a identificar productes i serveis que han estat produïts de manera responsable i sostenible.</t>
  </si>
  <si>
    <t>Social - Seguretat i qualitat del producte</t>
  </si>
  <si>
    <t>Social - Vies d’accés a la competència professional</t>
  </si>
  <si>
    <t>Medi ambient - disseny del producte i gestió del cicle de vida</t>
  </si>
  <si>
    <t>Social -  Guia de protecció de dades per a comerciants</t>
  </si>
  <si>
    <t>Diversos - Llei del sector del comerç</t>
  </si>
  <si>
    <t>Medi ambient - euro 6, euro 7</t>
  </si>
  <si>
    <t>Medi ambient - emissions de carboni (Directiva 2014/94/UE)</t>
  </si>
  <si>
    <r>
      <t>Medi ambient - emissions de carboni (</t>
    </r>
    <r>
      <rPr>
        <i/>
        <sz val="10"/>
        <rFont val="Arial"/>
        <family val="2"/>
      </rPr>
      <t xml:space="preserve">Lean &amp; Green) </t>
    </r>
  </si>
  <si>
    <t>Medi ambient - emissions de carboni (Moves III Catalunya)</t>
  </si>
  <si>
    <t>Medi Ambient - emissions de carboni (zones de baixes emissions)</t>
  </si>
  <si>
    <t>Les zones de baixes emissions són àrees designades dins de ciutats o centres urbans amb l'objectiu de reduir la contaminació de l'aire i millorar la seva qualitat restringint l'accés a vehicles amb emissions contaminants. Com a part de l'estratègia de la UE per combatre el canvi climàtic i la contaminació, les ZBE han cobrat rellevància en un nombre creixent de ciutats de la Unió Europea.
Per a les empreses de transport per carretera, l'augment de les Zones de Baixes Emissions té importants implicacions. Aquestes empreses s'han d'adaptar al canviant panorama normatiu per garantir que els seus vehicles compleixin els estàndards d'emissions establerts en aquestes zones. Això pot requerir actualitzacions en la seva flota, com ara la integració de tecnologies més netes o la transició envers vehicles elèctrics o híbrids.
Complir els requisits de les ZBE és crucial no només per mantenir l'accés a àrees urbanes, sinó també per mantenir una imatge pública positiva i complir les responsabilitats ambientals. Les empreses que operen en diverses ciutats amb regulacions de ZBE variables poden haver de fer front a desafiaments logístics, ja que els estàndards de compliment poden diferir d'una àrea a una altra. A més, la càrrega financera de les actualitzacions de flota, possibles multes per incompliment i costos operatius més alts a causa de tecnologies més netes requereixen una acurada consideració en les seves estratègies comercials.
Per tant, les empreses de transport per carretera han de planificar estratègicament aquests canvis, explorar solucions de transport sostenible i col·laborar amb les autoritats rellevants per navegar eficaçment per les complexitats de les zones de baixes emissions.</t>
  </si>
  <si>
    <t>Diversos: etiqueta de la UE per als pneumàtics</t>
  </si>
  <si>
    <t>L’Avantprojecte de llei que engloba taxis, VTC i empreses d’intermediació de taxis mostra un enfocament en la regulació equitativa del sector per garantir un bon govern i una competència justa.</t>
  </si>
  <si>
    <t>Medi ambient - subministrament de matèries primeres</t>
  </si>
  <si>
    <t>Diversos (mediambiental i social) - productes saludables i de baix impacte mediambiental</t>
  </si>
  <si>
    <t>Establiments que ofereixen menjar</t>
  </si>
  <si>
    <t>Medi ambient - gestió sostenible de l'aigua</t>
  </si>
  <si>
    <t>Medi ambient - contaminació</t>
  </si>
  <si>
    <t>General - diversos</t>
  </si>
  <si>
    <t>Social - seguretat</t>
  </si>
  <si>
    <t>Social - diversitat i inclusió</t>
  </si>
  <si>
    <t>L'Autoritat Catalana de Protecció de Dades (APDCAT) recomana que no s’incorpori ChatGPT en la prestació de serveis públics quan es tractin dades personals.</t>
  </si>
  <si>
    <t>General - estats d'informe no financer (CSRD - ESRS i Llei 11/2018)</t>
  </si>
  <si>
    <t>CSRD obligatori per a empreses públiques i grans empreses (complir 2/3 del següent:
1. Ingressos nets que superin 40 M€/any,
2. Actius totals  que superin 20 M€, 3. Més de 250 empleats); recomanat per a les altres empreses</t>
  </si>
  <si>
    <r>
      <t xml:space="preserve">Els informes no financers, com els requerits per la </t>
    </r>
    <r>
      <rPr>
        <i/>
        <sz val="10"/>
        <rFont val="Arial"/>
        <family val="2"/>
      </rPr>
      <t>Corporate Sustainability Reporting Directive</t>
    </r>
    <r>
      <rPr>
        <sz val="10"/>
        <rFont val="Arial"/>
        <family val="2"/>
      </rPr>
      <t xml:space="preserve"> (CSRD) a la UE i la Llei 11/2018 a Espanya, són vitals per a les empreses de serveis professionals. Aquestes regulacions exigeixen que les empreses divulguin el seu impacte sobre àrees ambientals, socials i de governança (ESG), cosa que transcendeix l'àmbit financer.
Per a aquestes empreses, la rellevància rau en la transparència i responsabilitat. Els informes reforcen la confiança de clients i inversors en mostrar un compromís envers pràctiques ètiques i sostenibles. A més, creen diferenciació competitiva en atraure els qui valoren la responsabilitat corporativa.
La gestió de riscos és un altre avantatge. La divulgació permet identificar i abordar riscos operatius, legals i reputacionals relacionats amb ESG. Això evita impactes negatius i millora la resiliència. L'atracció i retenció de talent també se'n beneficien. Els empleats cerquen empreses alineades amb valors personals. Informar sobre pràctiques ESG atrau professionals que cerquen treballar en entorns ètics i sostenibles.</t>
    </r>
  </si>
  <si>
    <t>La protecció de dades de clients és essencial per a les empreses de serveis professionals a causa de diverses raons crítiques. En primer lloc, garanteix la confiança del client en demostrar un compromís seriós envers la privacitat i la seguretat de la informació. A més, l'incompliment de les normatives de protecció de dades pot comportar sancions pecuniàries i danys a la reputació. La seguretat de dades també preserva la integritat de la relació client-professional i evita la fuita d'informació sensible. Complir les regulacions de privacitat, com el Reglament general de protecció de dades (RGPD) de la UE, és legalment obligatori i n'assegura la conformitat. En última instància, protegir les dades dels clients enforteix la lleialtat del client i manté la integritat ètica i professional de l'empresa.</t>
  </si>
  <si>
    <t>Taxonomia UE - adaptació a impactes físics del canvi climàtic</t>
  </si>
  <si>
    <t>- Realitzar una anàlisi exhaustiva dels riscos físics associats al canvi climàtic que puguin afectar els edificis en un període de temps raonable, tenint en compte la vida útil de l'edifici (un mínim de 10 anys).
- Avaluar i donar prioritat a les possibles solucions per mitigar els riscos físics del canvi climàtic identificats.
Implementar solucions, tant físiques com no físiques, per reduir els riscos físics més significatius relacionats amb el canvi climàtic, tot assegurant que aquestes solucions:
+ No tinguin un impacte negatiu sobre altres persones, la natura, el patrimoni cultural o els béns d'altres activitats econòmiques.
+ Estiguin en línia amb enfocaments basats en la natura o utilitzin conceptes d'infraestructura blava o verda tant com sigui possible.</t>
  </si>
  <si>
    <t>Taxonomia UE  - emissions de GEH</t>
  </si>
  <si>
    <t>- L'edifici no pot estar destinat a l'extracció, l'emmagatzematge, el transport o la fabricació de combustibles fòssils.
- Edificis construïts abans del 31 de desembre de 2020: tenir un certificat d'eficiència energètica de classe A com a mínim. 
O, en el seu lloc, l'edifici ha d'estar dins del 30% dels edificis amb major eficiència energètica en el parc immobiliari nacional o regional en termes de demanda d'energia primària.
- Edificis construïts després del 31 de desembre de 2020: la demanda d'energia primària no pot superar el llindar establert en relació amb els requisits relatius als edificis de consum d'energia gairebé nul, establerts en el codi tècnic d'edificació.</t>
  </si>
  <si>
    <t>Eficiència energètica</t>
  </si>
  <si>
    <t>Agenda dels pobles i ciutats Catalunya 2050</t>
  </si>
  <si>
    <t xml:space="preserve">Aquest Pla contempla un eix dedicat a la "Transformació Democràtica", que inclou aspectes com el "Bon govern i govern obert". Aquest enfocament pot ser rellevant per al sector, ja que promou la transparència, l'ètica i la responsabilitat en les pràctiques de govern, que poden ser aplicades o servir d'exemple per a les empreses del sector.​ </t>
  </si>
  <si>
    <t>Govern - competència responsable (Directiva 2005/29/EC)</t>
  </si>
  <si>
    <t xml:space="preserve">Les empreses de publicitat i màrqueting estan obligades a complir la Directiva 2005/29/EC, la qual els exigeix dur a terme un enfocament diligent en la promoció de productes. El propòsit fonamental d'aquesta Directiva és prevenir la difusió d'informació errònia sobre productes, la qual podria influir en la presa de decisions dels consumidors. Això abasta també l'omissió de dades importants que podrien tenir un impacte sobre les decisions de compra dels consumidors.
</t>
  </si>
  <si>
    <t>Govern - competència responsable (proposta i comunicació de reclams ambientals)</t>
  </si>
  <si>
    <r>
      <t xml:space="preserve">La proposta de Directiva sobre la substanciació i comunicació de reclams ambientals té com a objectiu establir nova legislació per abordar els reclams falsos o enganyosos sobre la sostenibilitat ambiental de productes, comunament conegut com a </t>
    </r>
    <r>
      <rPr>
        <i/>
        <sz val="10"/>
        <rFont val="Arial"/>
        <family val="2"/>
      </rPr>
      <t>Greenwashing</t>
    </r>
    <r>
      <rPr>
        <sz val="10"/>
        <rFont val="Arial"/>
        <family val="2"/>
      </rPr>
      <t>. Aquesta proposta estableix regles estrictes que requereixen que qualsevol reclam ambiental estigui recolzat per dades concretes basades en la ciència actual.
A més, s'exigeix que qualsevol reclam ambiental proporcioni informació detallada sobre les comparacions realitzades amb altres productes. Això inclou la divulgació de suposicions utilitzades en les comparacions, les etapes en la cadena de valor que inclou la comparació i les bases de càlcul utilitzades per donar suport als reclams ambientals. La proposta cerca garantir que els reclams relacionats amb la sostenibilitat siguin precisos, transparents i recolzats per proves sòlides.</t>
    </r>
  </si>
  <si>
    <t>Medi ambient - emissions de carboni: energia renovable</t>
  </si>
  <si>
    <t>Social - compromís, diversitat i inclusió</t>
  </si>
  <si>
    <t>En la indústria de la publicitat i el màrqueting, la diversitat i inclusió són fonamentals per a una gestió sostenible de l' empresa. Això no només té un impacte social positiu, sinó que també aporta beneficis econòmics. La diversitat a l'equip permet aprofitar una àmplia gamma d'idees i perspectives, la qual cosa és cabdal per connectar-se amb diferents grups d'interès i garantir l'èxit a llarg termini de l'empresa.</t>
  </si>
  <si>
    <t>Social - desenvolupament del capital humà</t>
  </si>
  <si>
    <t>Social - Pla de desenvolupament de polítiques d’ocupació de Catalunya</t>
  </si>
  <si>
    <t>Medi ambient - adquisició sostenible</t>
  </si>
  <si>
    <r>
      <t>És important avaluar la sostenibilitat dels possibles proveïdors i donar prioritat a aquells que tenen el millor acompliment en aspectes ambientals, socials i de governança (ESG). Per garantir l'adquisició sostenible, les empreses poden establir una política d'adquisició sostenible per a tots els seus proveïdors, avaluar i prioritzar els proveïdors segons el seu acompliment en ESG i certificacions de sostenibilitat de productes, com l'EU Ecolabel, i col·laborar per assegurar una millora contínua, entre altres mesures. Actualment, la Unió Europea està desenvolupant legislació per exigir a les grans empreses que garanteixin la sostenibilitat en les seves adquisicions, en forma del CSDDD (</t>
    </r>
    <r>
      <rPr>
        <i/>
        <sz val="10"/>
        <rFont val="Arial"/>
        <family val="2"/>
      </rPr>
      <t>Corporate Sustainable Due Diligence Directive</t>
    </r>
    <r>
      <rPr>
        <sz val="10"/>
        <rFont val="Arial"/>
        <family val="2"/>
      </rPr>
      <t>).</t>
    </r>
  </si>
  <si>
    <t>Educació per a la sostenibilitat - Agenda 2030 Catalunya</t>
  </si>
  <si>
    <t>El Departament d'Educació de Catalunya promou la inclusió dels Objectius de Desenvolupament Sostenible (ODS) en el currículum de les escoles catalanes. L'educació sobre l'Agenda 2030 cerca conscienciar els estudiants sobre qüestions globals crítiques i fomentar valors de responsabilitat, solidaritat i participació ciutadana. Ensenyar els ODS transcendeix les fronteres acadèmiques i empodera el jovent com a agent de canvi en les seves comunitats i més enllà. Integrar els ODS en el currículum contribueix a formar ciutadans informats i compromesos, capaços de prendre decisions sostenibles i contribuir al benestar col·lectiu. A més, prepara els estudiants per fer front a desafiaments futurs i contribuir al desenvolupament sostenible de Catalunya i el món en les dècades vinents.</t>
  </si>
  <si>
    <t>Programa d'Escoles Verdes / Xarxa d'Escoles per a la Sostenibilitat de Catalunya</t>
  </si>
  <si>
    <t>El Programa d'Escoles Verdes de la Generalitat de Catalunya té com a objectiu principal incorporar els valors de l'educació per a la sostenibilitat en tots els aspectes de la vida dels centres educatius. A més, fomenta la participació activa de la comunitat educativa en la millora del seu entorn i promou l'intercanvi d'idees entre diferents centres educatius que comparteixen aquests objectius.
Per a un centre educatiu, unir-se a aquestes iniciatives d'educació sostenible i formar part de la Xarxa d'Escoles per a la Sostenibilitat de Catalunya ofereix una valuosa eina per aprendre a ser més sostenible. A més, la col·laboració pot ajudar a atraure estudiants, contribuir a la seva formació integral en temes mediambientals i encoratjar-los a participar activament en la societat.</t>
  </si>
  <si>
    <r>
      <t xml:space="preserve">Ecoescoles és una xarxa europea d'escoles sostenibles que promou l'educació per a la sostenibilitat a escala internacional. A Espanya, compta amb 579 ecoescoles distribuïdes en 15 comunitats autònomes, totes connectades a través de la xarxa nacional. Aquestes ecoescoles tenen com a objectiu principal integrar l'educació ambiental i la sostenibilitat en el currículum escolar, fomentar la participació activa dels estudiants en la presa de decisions, promoure el desenvolupament de valors i actituds sostenibles i estimular la ciutadania activa.
Tot i que les ecoescoles se centren principalment en l'educació primària, hi ha una alternativa per als instituts d'educació secundària coneguda com a </t>
    </r>
    <r>
      <rPr>
        <i/>
        <sz val="10"/>
        <rFont val="Arial"/>
        <family val="2"/>
      </rPr>
      <t>Green Campus</t>
    </r>
    <r>
      <rPr>
        <sz val="10"/>
        <rFont val="Arial"/>
        <family val="2"/>
      </rPr>
      <t xml:space="preserve"> que comparteix valors i objectius similars</t>
    </r>
  </si>
  <si>
    <t>Ecoescoles / Campus Verd</t>
  </si>
  <si>
    <t>Per a molts centres educatius, especialment aquells amb instal·lacions físiques, la gestió de l'impacte dels seus edificis és un dels principals aspectes a abordar per millorar el seu acompliment en sostenibilitat. Una manera efectiva d'assolir aquest objectiu és dur a terme una auditoria energètica que permeti identificar àrees de millora i prioritzar les mesures a prendre. Entre les possibles accions, hi ha la instal·lació de panells solars fotovoltaics per generar energia renovable, la millora de l'eficiència energètica de l'edifici, l'adquisició d'equips més eficients des del punt de vista energètic i l'optimització de l'aïllament tèrmic de l'edifici per reduir la necessitat de calefacció o refrigeració. En els casos en què la instal·lació de panells solars no sigui viable, es podria considerar la compra d'energia renovable com a alternativa.</t>
  </si>
  <si>
    <t>Invertir en el capital humà, és a dir, en el desenvolupament i benestar del personal docent i no docent, té un impacte directe i positiu sobre l'acompliment sostenible d'un centre educatiu. Algunes de les raons clau per les quals aquesta inversió millora la sostenibilitat i l'èxit general de la institució són les següents:
Primer, equipar el personal amb coneixements actualitzats en el seu camp d'interès millora la qualitat educativa i la pedagogia. A més, el lideratge i la gestió són més capaços d'abordar els desafiaments actuals del sistema educatiu i de mantenir-se al dia en temes rellevants com ara la sostenibilitat. Aquesta inversió també contribueix a la retenció d'empleats, fomenta la innovació pedagògica i crea un entorn organitzacional positiu, entre altres beneficis.</t>
  </si>
  <si>
    <t>Benestar del client - Programa Salut i Escola</t>
  </si>
  <si>
    <t>Medi Ambient - eficiència energètica</t>
  </si>
  <si>
    <t>L'economia circular és essencial per a l'acompliment de sostenibilitat en organitzacions sanitàries. Adoptar principis d'ecodisseny i circularitat de productes permet reduir residus mèdics, optimitzar l'ús de recursos i minimitzar l'impacte ambiental. En reutilitzar equips i materials, es disminueix la generació de deixalles i s'estalvien costos. A més, es fomenta la innovació en el sector i es promouen solucions més eficients i amigables envers l'entorn. L'economia circular també millora la imatge de l'organització en mostrar un compromís envers pràctiques responsables i sostenibles, cosa que atrau pacients, personal i socis compromesos envers la salut i el medi ambient.Catalunya Circular és el hub d’innovació i punt de trobada d’empreses i institucions que aporten solucions i estratègies per consolidar l’economia circular a Catalunya.</t>
  </si>
  <si>
    <r>
      <t xml:space="preserve">Atès que la indústria sanitària fa ús d'una gran quantitat de productes físics amb materials d'embalatge utilitzats per al seu transport i distribució, és un factor clau en l'impacte generat. Per aquesta raó, la Unió Europea ha implementat una nova legislació que requereix la reducció de l'ús de plàstics d'un sol ús i en prohibeix certes aplicacions. A més, des de l'1 de gener, va entrar en vigor la Llei 7/2022, que estableix un nou impost sobre els envasos de plàstic no reutilitzables. Per tant, és important cercar materials d'embalatge que generin un menor impacte sobre el medi ambient, adaptats a l'aplicació i la ubicació geogràfica dels productes. La </t>
    </r>
    <r>
      <rPr>
        <i/>
        <sz val="10"/>
        <rFont val="Arial"/>
        <family val="2"/>
      </rPr>
      <t>Sustainable Packaging Coalition</t>
    </r>
    <r>
      <rPr>
        <sz val="10"/>
        <rFont val="Arial"/>
        <family val="2"/>
      </rPr>
      <t xml:space="preserve"> ofereix diverses iniciatives destinades a ajudar les empreses a reduir l'impacte ambiental dels seus envasos.</t>
    </r>
  </si>
  <si>
    <t xml:space="preserve">Aquesta guia proporciona eines i metodologies per a la planificació d’intervencions públiques, incloent la importància de la transparència, l'avaluació i el seguiment. Això pot ser aplicable al sector en termes de desenvolupament de campanyes i projectes que compleixin amb els estàndards de bon govern. </t>
  </si>
  <si>
    <t>Social - protecció de dades de pacients</t>
  </si>
  <si>
    <t>General - compra sostenible</t>
  </si>
  <si>
    <r>
      <t xml:space="preserve">
</t>
    </r>
    <r>
      <rPr>
        <b/>
        <sz val="16"/>
        <color theme="0"/>
        <rFont val="Arial"/>
        <family val="2"/>
      </rPr>
      <t>Crèdits</t>
    </r>
    <r>
      <rPr>
        <b/>
        <sz val="12"/>
        <color theme="0"/>
        <rFont val="Arial"/>
        <family val="2"/>
      </rPr>
      <t xml:space="preserve">
</t>
    </r>
    <r>
      <rPr>
        <sz val="12"/>
        <color theme="0"/>
        <rFont val="Arial"/>
        <family val="2"/>
      </rPr>
      <t>© Generalitat de Catalunya
Departament d’Acció Climàtica, Alimentació i Agenda Rural</t>
    </r>
    <r>
      <rPr>
        <b/>
        <sz val="12"/>
        <color theme="0"/>
        <rFont val="Arial"/>
        <family val="2"/>
      </rPr>
      <t xml:space="preserve">
</t>
    </r>
    <r>
      <rPr>
        <sz val="12"/>
        <color theme="0"/>
        <rFont val="Arial"/>
        <family val="2"/>
      </rPr>
      <t>Primera edició, gener de 2024</t>
    </r>
    <r>
      <rPr>
        <b/>
        <sz val="12"/>
        <color theme="0"/>
        <rFont val="Arial"/>
        <family val="2"/>
      </rPr>
      <t xml:space="preserve">
AUTORS
</t>
    </r>
    <r>
      <rPr>
        <sz val="12"/>
        <color theme="0"/>
        <rFont val="Arial"/>
        <family val="2"/>
      </rPr>
      <t>Ramon Scholl1, Oliver Canosa Daroca1, Oriol Lafarga Amorós1, Eduardo Macon Bayarri1, Clara Sánchez Cerdà1</t>
    </r>
    <r>
      <rPr>
        <b/>
        <sz val="12"/>
        <color theme="0"/>
        <rFont val="Arial"/>
        <family val="2"/>
      </rPr>
      <t xml:space="preserve">
COORDINACIÓ
</t>
    </r>
    <r>
      <rPr>
        <sz val="12"/>
        <color theme="0"/>
        <rFont val="Arial"/>
        <family val="2"/>
      </rPr>
      <t>Maria José Sarrias Galcerán2, Virginia Ferrer-Vidal Cortella2</t>
    </r>
    <r>
      <rPr>
        <b/>
        <sz val="12"/>
        <color theme="0"/>
        <rFont val="Arial"/>
        <family val="2"/>
      </rPr>
      <t xml:space="preserve">
</t>
    </r>
    <r>
      <rPr>
        <sz val="12"/>
        <color theme="0"/>
        <rFont val="Arial"/>
        <family val="2"/>
      </rPr>
      <t>1 TECNOAMBIENTE
2  Direcció general de Canvi Climàtic i Qualitat Ambiental</t>
    </r>
    <r>
      <rPr>
        <b/>
        <sz val="12"/>
        <color theme="0"/>
        <rFont val="Arial"/>
        <family val="2"/>
      </rPr>
      <t xml:space="preserve">
  </t>
    </r>
    <r>
      <rPr>
        <sz val="12"/>
        <color theme="0"/>
        <rFont val="Arial"/>
        <family val="2"/>
      </rPr>
      <t xml:space="preserve">  Departament d’Acció Climàtica, Alimentació i Agenda Rural</t>
    </r>
    <r>
      <rPr>
        <b/>
        <sz val="12"/>
        <color theme="0"/>
        <rFont val="Arial"/>
        <family val="2"/>
      </rPr>
      <t xml:space="preserve">
</t>
    </r>
  </si>
  <si>
    <r>
      <rPr>
        <b/>
        <sz val="12"/>
        <rFont val="Arial"/>
        <family val="2"/>
      </rPr>
      <t>Serveis sanitaris</t>
    </r>
    <r>
      <rPr>
        <b/>
        <u/>
        <sz val="11"/>
        <rFont val="Calibri"/>
        <family val="2"/>
        <scheme val="minor"/>
      </rPr>
      <t xml:space="preserve">
</t>
    </r>
  </si>
  <si>
    <r>
      <rPr>
        <b/>
        <sz val="12"/>
        <rFont val="Arial"/>
        <family val="2"/>
      </rPr>
      <t>Serveis d'educació</t>
    </r>
    <r>
      <rPr>
        <b/>
        <u/>
        <sz val="11"/>
        <rFont val="Calibri"/>
        <family val="2"/>
        <scheme val="minor"/>
      </rPr>
      <t xml:space="preserve">
</t>
    </r>
  </si>
  <si>
    <r>
      <rPr>
        <b/>
        <sz val="12"/>
        <rFont val="Arial"/>
        <family val="2"/>
      </rPr>
      <t>Indústria de la publicitat / el màrqueting</t>
    </r>
    <r>
      <rPr>
        <b/>
        <u/>
        <sz val="11"/>
        <rFont val="Calibri"/>
        <family val="2"/>
        <scheme val="minor"/>
      </rPr>
      <t xml:space="preserve">
</t>
    </r>
  </si>
  <si>
    <r>
      <rPr>
        <b/>
        <sz val="12"/>
        <rFont val="Arial"/>
        <family val="2"/>
      </rPr>
      <t>Serveis immobiliaris</t>
    </r>
    <r>
      <rPr>
        <b/>
        <u/>
        <sz val="11"/>
        <rFont val="Calibri"/>
        <family val="2"/>
        <scheme val="minor"/>
      </rPr>
      <t xml:space="preserve">
</t>
    </r>
  </si>
  <si>
    <r>
      <rPr>
        <b/>
        <sz val="12"/>
        <rFont val="Arial"/>
        <family val="2"/>
      </rPr>
      <t>Serveis professionals</t>
    </r>
    <r>
      <rPr>
        <b/>
        <u/>
        <sz val="10"/>
        <rFont val="Arial"/>
        <family val="2"/>
      </rPr>
      <t xml:space="preserve">
</t>
    </r>
  </si>
  <si>
    <r>
      <rPr>
        <b/>
        <sz val="12"/>
        <rFont val="Arial"/>
        <family val="2"/>
      </rPr>
      <t>Transport terrestre</t>
    </r>
    <r>
      <rPr>
        <b/>
        <u/>
        <sz val="11"/>
        <rFont val="Calibri"/>
        <family val="2"/>
        <scheme val="minor"/>
      </rPr>
      <t xml:space="preserve">
</t>
    </r>
  </si>
  <si>
    <r>
      <rPr>
        <b/>
        <sz val="12"/>
        <rFont val="Arial"/>
        <family val="2"/>
      </rPr>
      <t>Comerç a l'engròs</t>
    </r>
    <r>
      <rPr>
        <b/>
        <u/>
        <sz val="11"/>
        <rFont val="Calibri"/>
        <family val="2"/>
        <scheme val="minor"/>
      </rPr>
      <t xml:space="preserve">
</t>
    </r>
  </si>
  <si>
    <r>
      <rPr>
        <b/>
        <sz val="12"/>
        <rFont val="Arial"/>
        <family val="2"/>
      </rPr>
      <t>Venda i reparació de vehicles</t>
    </r>
    <r>
      <rPr>
        <b/>
        <u/>
        <sz val="12"/>
        <rFont val="Calibri"/>
        <family val="2"/>
        <scheme val="minor"/>
      </rPr>
      <t xml:space="preserve">
</t>
    </r>
  </si>
  <si>
    <r>
      <rPr>
        <b/>
        <sz val="12"/>
        <rFont val="Arial"/>
        <family val="2"/>
      </rPr>
      <t>Serveis tècnics d'arquitectura i enginyeria</t>
    </r>
    <r>
      <rPr>
        <b/>
        <u/>
        <sz val="12"/>
        <rFont val="Calibri"/>
        <family val="2"/>
        <scheme val="minor"/>
      </rPr>
      <t xml:space="preserve">
</t>
    </r>
  </si>
  <si>
    <r>
      <rPr>
        <b/>
        <sz val="12"/>
        <rFont val="Arial"/>
        <family val="2"/>
      </rPr>
      <t>Indústria de la construcció</t>
    </r>
    <r>
      <rPr>
        <b/>
        <u/>
        <sz val="11"/>
        <rFont val="Calibri"/>
        <family val="2"/>
        <scheme val="minor"/>
      </rPr>
      <t xml:space="preserve">
</t>
    </r>
  </si>
  <si>
    <r>
      <rPr>
        <b/>
        <sz val="12"/>
        <rFont val="Arial"/>
        <family val="2"/>
      </rPr>
      <t>Indústria de tractament de residus i aigua</t>
    </r>
    <r>
      <rPr>
        <b/>
        <u/>
        <sz val="11"/>
        <rFont val="Calibri"/>
        <family val="2"/>
        <scheme val="minor"/>
      </rPr>
      <t xml:space="preserve">
</t>
    </r>
  </si>
  <si>
    <r>
      <rPr>
        <b/>
        <sz val="12"/>
        <rFont val="Arial"/>
        <family val="2"/>
      </rPr>
      <t>Indústria de fusta i paper</t>
    </r>
    <r>
      <rPr>
        <b/>
        <u/>
        <sz val="12"/>
        <rFont val="Calibri"/>
        <family val="2"/>
        <scheme val="minor"/>
      </rPr>
      <t xml:space="preserve">
</t>
    </r>
  </si>
  <si>
    <r>
      <rPr>
        <b/>
        <sz val="12"/>
        <rFont val="Arial"/>
        <family val="2"/>
      </rPr>
      <t>Indústria de la moda i tèxtil</t>
    </r>
    <r>
      <rPr>
        <b/>
        <u/>
        <sz val="12"/>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</si>
</sst>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font>
      <sz val="10"/>
      <name val="Arial"/>
    </font>
    <font>
      <sz val="10"/>
      <name val="Arial"/>
      <family val="2"/>
    </font>
    <font>
      <b/>
      <sz val="11"/>
      <color indexed="8"/>
      <name val="Arial"/>
      <family val="2"/>
    </font>
    <font>
      <b/>
      <sz val="10"/>
      <color indexed="8"/>
      <name val="Arial"/>
      <family val="2"/>
    </font>
    <font>
      <sz val="10"/>
      <color indexed="9"/>
      <name val="Arial"/>
      <family val="2"/>
    </font>
    <font>
      <sz val="9"/>
      <color indexed="8"/>
      <name val="Arial"/>
      <family val="2"/>
    </font>
    <font>
      <b/>
      <sz val="9"/>
      <color indexed="8"/>
      <name val="Arial"/>
      <family val="2"/>
    </font>
    <font>
      <b/>
      <sz val="10"/>
      <color theme="0"/>
      <name val="Arial"/>
      <family val="2"/>
    </font>
    <font>
      <u/>
      <sz val="10"/>
      <color theme="10"/>
      <name val="Arial"/>
      <family val="2"/>
    </font>
    <font>
      <sz val="10"/>
      <color theme="0"/>
      <name val="Arial"/>
      <family val="2"/>
    </font>
    <font>
      <b/>
      <sz val="10"/>
      <name val="Arial"/>
      <family val="2"/>
    </font>
    <font>
      <b/>
      <sz val="12"/>
      <color theme="0"/>
      <name val="Arial"/>
      <family val="2"/>
    </font>
    <font>
      <b/>
      <sz val="11"/>
      <name val="Calibri"/>
      <family val="2"/>
      <scheme val="minor"/>
    </font>
    <font>
      <b/>
      <sz val="11"/>
      <color theme="0"/>
      <name val="Calibri"/>
      <family val="2"/>
      <scheme val="minor"/>
    </font>
    <font>
      <b/>
      <sz val="12"/>
      <name val="Arial"/>
      <family val="2"/>
    </font>
    <font>
      <b/>
      <u/>
      <sz val="11"/>
      <name val="Arial"/>
      <family val="2"/>
    </font>
    <font>
      <b/>
      <u/>
      <sz val="11"/>
      <name val="Calibri"/>
      <family val="2"/>
      <scheme val="minor"/>
    </font>
    <font>
      <b/>
      <sz val="10"/>
      <color theme="1"/>
      <name val="Arial"/>
      <family val="2"/>
    </font>
    <font>
      <sz val="11"/>
      <name val="Calibri"/>
      <family val="2"/>
      <scheme val="minor"/>
    </font>
    <font>
      <b/>
      <sz val="10"/>
      <color rgb="FFFF0000"/>
      <name val="Arial"/>
      <family val="2"/>
    </font>
    <font>
      <sz val="10"/>
      <color rgb="FFFF0000"/>
      <name val="Arial"/>
      <family val="2"/>
    </font>
    <font>
      <sz val="8"/>
      <name val="Arial"/>
      <family val="2"/>
    </font>
    <font>
      <vertAlign val="subscript"/>
      <sz val="10"/>
      <name val="Arial"/>
      <family val="2"/>
    </font>
    <font>
      <i/>
      <u/>
      <sz val="10"/>
      <color theme="10"/>
      <name val="Arial"/>
      <family val="2"/>
    </font>
    <font>
      <i/>
      <sz val="10"/>
      <name val="Arial"/>
      <family val="2"/>
    </font>
    <font>
      <vertAlign val="superscript"/>
      <sz val="10"/>
      <name val="Arial"/>
      <family val="2"/>
    </font>
    <font>
      <u/>
      <sz val="10"/>
      <color theme="10"/>
      <name val="Arial"/>
      <family val="2"/>
    </font>
    <font>
      <sz val="22"/>
      <color rgb="FFFF0000"/>
      <name val="Arial"/>
      <family val="2"/>
    </font>
    <font>
      <sz val="24"/>
      <color rgb="FFFF0000"/>
      <name val="Arial"/>
      <family val="2"/>
    </font>
    <font>
      <u/>
      <sz val="10"/>
      <name val="Arial"/>
      <family val="2"/>
    </font>
    <font>
      <b/>
      <sz val="18"/>
      <color theme="4" tint="-0.249977111117893"/>
      <name val="Arial"/>
      <family val="2"/>
    </font>
    <font>
      <b/>
      <sz val="12"/>
      <color theme="4" tint="-0.249977111117893"/>
      <name val="Arial"/>
      <family val="2"/>
    </font>
    <font>
      <b/>
      <u/>
      <sz val="10"/>
      <name val="Arial"/>
      <family val="2"/>
    </font>
    <font>
      <sz val="18"/>
      <name val="Arial"/>
      <family val="2"/>
    </font>
    <font>
      <b/>
      <sz val="11"/>
      <color theme="0"/>
      <name val="Calibri "/>
    </font>
    <font>
      <b/>
      <sz val="16"/>
      <color theme="0"/>
      <name val="Arial"/>
      <family val="2"/>
    </font>
    <font>
      <sz val="12"/>
      <color theme="0"/>
      <name val="Arial"/>
      <family val="2"/>
    </font>
    <font>
      <b/>
      <u/>
      <sz val="12"/>
      <name val="Calibri"/>
      <family val="2"/>
      <scheme val="minor"/>
    </font>
  </fonts>
  <fills count="27">
    <fill>
      <patternFill patternType="none"/>
    </fill>
    <fill>
      <patternFill patternType="gray125"/>
    </fill>
    <fill>
      <patternFill patternType="solid">
        <fgColor indexed="9"/>
        <bgColor indexed="64"/>
      </patternFill>
    </fill>
    <fill>
      <patternFill patternType="solid">
        <fgColor indexed="12"/>
        <bgColor indexed="64"/>
      </patternFill>
    </fill>
    <fill>
      <patternFill patternType="solid">
        <fgColor indexed="48"/>
        <bgColor indexed="64"/>
      </patternFill>
    </fill>
    <fill>
      <patternFill patternType="solid">
        <fgColor indexed="23"/>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rgb="FF0070C0"/>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3"/>
        <bgColor indexed="64"/>
      </patternFill>
    </fill>
    <fill>
      <patternFill patternType="solid">
        <fgColor rgb="FF003300"/>
        <bgColor indexed="64"/>
      </patternFill>
    </fill>
  </fills>
  <borders count="29">
    <border>
      <left/>
      <right/>
      <top/>
      <bottom/>
      <diagonal/>
    </border>
    <border>
      <left style="thin">
        <color indexed="9"/>
      </left>
      <right style="thin">
        <color indexed="9"/>
      </right>
      <top style="thin">
        <color indexed="9"/>
      </top>
      <bottom style="thin">
        <color indexed="9"/>
      </bottom>
      <diagonal/>
    </border>
    <border>
      <left style="thin">
        <color indexed="9"/>
      </left>
      <right/>
      <top/>
      <bottom style="thin">
        <color indexed="9"/>
      </bottom>
      <diagonal/>
    </border>
    <border>
      <left/>
      <right/>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style="thin">
        <color indexed="9"/>
      </bottom>
      <diagonal/>
    </border>
    <border>
      <left/>
      <right/>
      <top style="thin">
        <color indexed="9"/>
      </top>
      <bottom style="thin">
        <color indexed="9"/>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9"/>
      </left>
      <right style="thin">
        <color indexed="9"/>
      </right>
      <top/>
      <bottom style="thin">
        <color indexed="9"/>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9"/>
      </right>
      <top/>
      <bottom style="thin">
        <color indexed="9"/>
      </bottom>
      <diagonal/>
    </border>
    <border>
      <left style="thin">
        <color indexed="64"/>
      </left>
      <right style="thin">
        <color indexed="64"/>
      </right>
      <top/>
      <bottom/>
      <diagonal/>
    </border>
    <border>
      <left style="thin">
        <color indexed="64"/>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style="thin">
        <color indexed="64"/>
      </left>
      <right/>
      <top style="thin">
        <color theme="4" tint="0.39997558519241921"/>
      </top>
      <bottom style="thin">
        <color indexed="64"/>
      </bottom>
      <diagonal/>
    </border>
  </borders>
  <cellStyleXfs count="3">
    <xf numFmtId="0" fontId="0" fillId="0" borderId="0"/>
    <xf numFmtId="9" fontId="1" fillId="0" borderId="0" applyFont="0" applyFill="0" applyBorder="0" applyAlignment="0" applyProtection="0"/>
    <xf numFmtId="0" fontId="26" fillId="0" borderId="0" applyNumberFormat="0" applyFill="0" applyBorder="0" applyAlignment="0" applyProtection="0"/>
  </cellStyleXfs>
  <cellXfs count="312">
    <xf numFmtId="0" fontId="0" fillId="0" borderId="0" xfId="0"/>
    <xf numFmtId="0" fontId="3" fillId="2" borderId="1" xfId="0" applyFont="1" applyFill="1" applyBorder="1"/>
    <xf numFmtId="0" fontId="3" fillId="3" borderId="1" xfId="0" applyFont="1" applyFill="1" applyBorder="1" applyAlignment="1">
      <alignment horizontal="left"/>
    </xf>
    <xf numFmtId="0" fontId="3" fillId="4" borderId="1" xfId="0" applyFont="1" applyFill="1" applyBorder="1" applyAlignment="1">
      <alignment horizontal="left"/>
    </xf>
    <xf numFmtId="0" fontId="0" fillId="3" borderId="1" xfId="0" applyFill="1" applyBorder="1"/>
    <xf numFmtId="3" fontId="5" fillId="5" borderId="1" xfId="0" applyNumberFormat="1" applyFont="1" applyFill="1" applyBorder="1" applyAlignment="1">
      <alignment horizontal="right"/>
    </xf>
    <xf numFmtId="10" fontId="5" fillId="5" borderId="1" xfId="1" applyNumberFormat="1" applyFont="1" applyFill="1" applyBorder="1" applyAlignment="1">
      <alignment horizontal="right"/>
    </xf>
    <xf numFmtId="0" fontId="2" fillId="3" borderId="5" xfId="0" applyFont="1" applyFill="1" applyBorder="1"/>
    <xf numFmtId="0" fontId="3" fillId="4" borderId="4" xfId="0" applyFont="1" applyFill="1" applyBorder="1"/>
    <xf numFmtId="0" fontId="3" fillId="4" borderId="5" xfId="0" applyFont="1" applyFill="1" applyBorder="1"/>
    <xf numFmtId="0" fontId="4" fillId="2" borderId="4" xfId="0" applyFont="1" applyFill="1" applyBorder="1"/>
    <xf numFmtId="0" fontId="4" fillId="2" borderId="5" xfId="0" applyFont="1" applyFill="1" applyBorder="1"/>
    <xf numFmtId="0" fontId="2" fillId="2" borderId="4" xfId="0" applyFont="1" applyFill="1" applyBorder="1"/>
    <xf numFmtId="0" fontId="2" fillId="2" borderId="5" xfId="0" applyFont="1" applyFill="1" applyBorder="1"/>
    <xf numFmtId="0" fontId="3" fillId="2" borderId="4" xfId="0" applyFont="1" applyFill="1" applyBorder="1"/>
    <xf numFmtId="0" fontId="3" fillId="2" borderId="5" xfId="0" applyFont="1" applyFill="1" applyBorder="1"/>
    <xf numFmtId="0" fontId="3" fillId="3" borderId="4" xfId="0" applyFont="1" applyFill="1" applyBorder="1" applyAlignment="1">
      <alignment horizontal="left"/>
    </xf>
    <xf numFmtId="0" fontId="3" fillId="3" borderId="6" xfId="0" applyFont="1" applyFill="1" applyBorder="1" applyAlignment="1">
      <alignment horizontal="left"/>
    </xf>
    <xf numFmtId="0" fontId="3" fillId="3" borderId="5" xfId="0" applyFont="1" applyFill="1" applyBorder="1" applyAlignment="1">
      <alignment horizontal="left"/>
    </xf>
    <xf numFmtId="3" fontId="6" fillId="6" borderId="1" xfId="0" applyNumberFormat="1" applyFont="1" applyFill="1" applyBorder="1" applyAlignment="1">
      <alignment horizontal="right"/>
    </xf>
    <xf numFmtId="0" fontId="3" fillId="4" borderId="1" xfId="0" applyFont="1" applyFill="1" applyBorder="1" applyAlignment="1">
      <alignment horizontal="left" wrapText="1"/>
    </xf>
    <xf numFmtId="0" fontId="1" fillId="0" borderId="0" xfId="0" applyFont="1"/>
    <xf numFmtId="0" fontId="8" fillId="0" borderId="0" xfId="2" applyFont="1"/>
    <xf numFmtId="0" fontId="3" fillId="9" borderId="1" xfId="0" applyFont="1" applyFill="1" applyBorder="1" applyAlignment="1">
      <alignment horizontal="left" wrapText="1"/>
    </xf>
    <xf numFmtId="0" fontId="0" fillId="0" borderId="0" xfId="0" applyAlignment="1">
      <alignment horizontal="center" vertical="center"/>
    </xf>
    <xf numFmtId="0" fontId="1" fillId="0" borderId="0" xfId="0" applyFont="1" applyAlignment="1">
      <alignment vertical="center" wrapText="1"/>
    </xf>
    <xf numFmtId="0" fontId="3" fillId="3" borderId="3" xfId="0" applyFont="1" applyFill="1" applyBorder="1"/>
    <xf numFmtId="3" fontId="5" fillId="5" borderId="4" xfId="0" applyNumberFormat="1" applyFont="1" applyFill="1" applyBorder="1" applyAlignment="1">
      <alignment horizontal="right"/>
    </xf>
    <xf numFmtId="0" fontId="0" fillId="14" borderId="12" xfId="0" applyFill="1" applyBorder="1"/>
    <xf numFmtId="3" fontId="5" fillId="5" borderId="16" xfId="0" applyNumberFormat="1" applyFont="1" applyFill="1" applyBorder="1" applyAlignment="1">
      <alignment horizontal="right"/>
    </xf>
    <xf numFmtId="3" fontId="5" fillId="5" borderId="2" xfId="0" applyNumberFormat="1" applyFont="1" applyFill="1" applyBorder="1" applyAlignment="1">
      <alignment horizontal="right"/>
    </xf>
    <xf numFmtId="0" fontId="0" fillId="14" borderId="17" xfId="0" applyFill="1" applyBorder="1"/>
    <xf numFmtId="3" fontId="5" fillId="5" borderId="5" xfId="0" applyNumberFormat="1" applyFont="1" applyFill="1" applyBorder="1" applyAlignment="1">
      <alignment horizontal="right"/>
    </xf>
    <xf numFmtId="3" fontId="5" fillId="5" borderId="20" xfId="0" applyNumberFormat="1" applyFont="1" applyFill="1" applyBorder="1" applyAlignment="1">
      <alignment horizontal="right"/>
    </xf>
    <xf numFmtId="3" fontId="5" fillId="5" borderId="12" xfId="0" applyNumberFormat="1" applyFont="1" applyFill="1" applyBorder="1" applyAlignment="1">
      <alignment horizontal="right"/>
    </xf>
    <xf numFmtId="0" fontId="0" fillId="17" borderId="17" xfId="0" applyFill="1" applyBorder="1"/>
    <xf numFmtId="0" fontId="3" fillId="19" borderId="12" xfId="0" applyFont="1" applyFill="1" applyBorder="1"/>
    <xf numFmtId="0" fontId="3" fillId="19" borderId="12" xfId="0" applyFont="1" applyFill="1" applyBorder="1" applyAlignment="1">
      <alignment horizontal="left"/>
    </xf>
    <xf numFmtId="0" fontId="3" fillId="19" borderId="14" xfId="0" applyFont="1" applyFill="1" applyBorder="1" applyAlignment="1">
      <alignment horizontal="left"/>
    </xf>
    <xf numFmtId="0" fontId="3" fillId="17" borderId="12" xfId="0" applyFont="1" applyFill="1" applyBorder="1"/>
    <xf numFmtId="0" fontId="1" fillId="17" borderId="12" xfId="0" applyFont="1" applyFill="1" applyBorder="1"/>
    <xf numFmtId="10" fontId="6" fillId="17" borderId="12" xfId="1" applyNumberFormat="1" applyFont="1" applyFill="1" applyBorder="1" applyAlignment="1">
      <alignment horizontal="center" vertical="center"/>
    </xf>
    <xf numFmtId="0" fontId="0" fillId="17" borderId="12" xfId="0" applyFill="1" applyBorder="1"/>
    <xf numFmtId="0" fontId="0" fillId="17" borderId="18" xfId="0" applyFill="1" applyBorder="1"/>
    <xf numFmtId="0" fontId="0" fillId="17" borderId="13" xfId="0" applyFill="1" applyBorder="1"/>
    <xf numFmtId="0" fontId="0" fillId="17" borderId="14" xfId="0" applyFill="1" applyBorder="1"/>
    <xf numFmtId="0" fontId="10" fillId="17" borderId="12" xfId="0" applyFont="1" applyFill="1" applyBorder="1" applyAlignment="1">
      <alignment horizontal="left"/>
    </xf>
    <xf numFmtId="0" fontId="10" fillId="17" borderId="12" xfId="0" applyFont="1" applyFill="1" applyBorder="1" applyAlignment="1">
      <alignment horizontal="left" vertical="center" wrapText="1"/>
    </xf>
    <xf numFmtId="0" fontId="11" fillId="20" borderId="12" xfId="0" applyFont="1" applyFill="1" applyBorder="1" applyAlignment="1">
      <alignment horizontal="center" vertical="center" textRotation="45" wrapText="1"/>
    </xf>
    <xf numFmtId="0" fontId="11" fillId="20" borderId="12" xfId="0" applyFont="1" applyFill="1" applyBorder="1" applyAlignment="1">
      <alignment horizontal="center" vertical="center" textRotation="45"/>
    </xf>
    <xf numFmtId="0" fontId="11" fillId="20" borderId="0" xfId="0" applyFont="1" applyFill="1" applyAlignment="1">
      <alignment horizontal="center" vertical="center" textRotation="45"/>
    </xf>
    <xf numFmtId="0" fontId="0" fillId="12" borderId="17" xfId="0" applyFill="1" applyBorder="1"/>
    <xf numFmtId="0" fontId="0" fillId="13" borderId="17" xfId="0" applyFill="1" applyBorder="1"/>
    <xf numFmtId="0" fontId="0" fillId="12" borderId="19" xfId="0" applyFill="1" applyBorder="1"/>
    <xf numFmtId="0" fontId="0" fillId="12" borderId="12" xfId="0" applyFill="1" applyBorder="1"/>
    <xf numFmtId="0" fontId="0" fillId="13" borderId="12" xfId="0" applyFill="1" applyBorder="1"/>
    <xf numFmtId="0" fontId="0" fillId="13" borderId="13" xfId="0" applyFill="1" applyBorder="1"/>
    <xf numFmtId="0" fontId="0" fillId="13" borderId="14" xfId="0" applyFill="1" applyBorder="1"/>
    <xf numFmtId="0" fontId="0" fillId="14" borderId="18" xfId="0" applyFill="1" applyBorder="1"/>
    <xf numFmtId="0" fontId="3" fillId="21" borderId="1" xfId="0" applyFont="1" applyFill="1" applyBorder="1" applyAlignment="1">
      <alignment horizontal="left" wrapText="1"/>
    </xf>
    <xf numFmtId="0" fontId="3" fillId="13" borderId="1" xfId="0" applyFont="1" applyFill="1" applyBorder="1" applyAlignment="1">
      <alignment horizontal="left" wrapText="1"/>
    </xf>
    <xf numFmtId="0" fontId="3" fillId="11" borderId="1" xfId="0" applyFont="1" applyFill="1" applyBorder="1" applyAlignment="1">
      <alignment horizontal="left" wrapText="1"/>
    </xf>
    <xf numFmtId="0" fontId="7" fillId="8" borderId="1" xfId="0" applyFont="1" applyFill="1" applyBorder="1" applyAlignment="1">
      <alignment horizontal="left" wrapText="1"/>
    </xf>
    <xf numFmtId="3" fontId="3" fillId="17" borderId="12" xfId="0" applyNumberFormat="1" applyFont="1" applyFill="1" applyBorder="1" applyAlignment="1">
      <alignment horizontal="center" vertical="center" wrapText="1"/>
    </xf>
    <xf numFmtId="0" fontId="0" fillId="12" borderId="14" xfId="0" applyFill="1" applyBorder="1"/>
    <xf numFmtId="0" fontId="3" fillId="19" borderId="0" xfId="0" applyFont="1" applyFill="1" applyAlignment="1">
      <alignment horizontal="left"/>
    </xf>
    <xf numFmtId="0" fontId="0" fillId="14" borderId="13" xfId="0" applyFill="1" applyBorder="1"/>
    <xf numFmtId="10" fontId="6" fillId="22" borderId="12" xfId="1" applyNumberFormat="1" applyFont="1" applyFill="1" applyBorder="1" applyAlignment="1">
      <alignment horizontal="center" vertical="center"/>
    </xf>
    <xf numFmtId="0" fontId="0" fillId="13" borderId="18" xfId="0" applyFill="1" applyBorder="1"/>
    <xf numFmtId="0" fontId="0" fillId="13" borderId="19" xfId="0" applyFill="1" applyBorder="1"/>
    <xf numFmtId="0" fontId="8" fillId="0" borderId="0" xfId="2" applyFont="1" applyAlignment="1">
      <alignment horizontal="center" vertical="center" wrapText="1"/>
    </xf>
    <xf numFmtId="0" fontId="7" fillId="12" borderId="0" xfId="0" applyFont="1" applyFill="1" applyAlignment="1">
      <alignment horizontal="center" vertical="center" wrapText="1"/>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horizontal="center" vertical="center"/>
    </xf>
    <xf numFmtId="0" fontId="8" fillId="0" borderId="0" xfId="2" applyFont="1" applyFill="1" applyAlignment="1">
      <alignment horizontal="center" vertical="center" wrapText="1"/>
    </xf>
    <xf numFmtId="0" fontId="8" fillId="0" borderId="0" xfId="2" applyFont="1" applyFill="1" applyAlignment="1">
      <alignment horizontal="center" vertical="center"/>
    </xf>
    <xf numFmtId="0" fontId="3" fillId="0" borderId="0" xfId="0" applyFont="1" applyAlignment="1">
      <alignment horizontal="left" wrapText="1"/>
    </xf>
    <xf numFmtId="0" fontId="0" fillId="16" borderId="0" xfId="0" applyFill="1"/>
    <xf numFmtId="0" fontId="9" fillId="0" borderId="0" xfId="0" applyFont="1" applyAlignment="1">
      <alignment horizontal="left" textRotation="45" wrapText="1"/>
    </xf>
    <xf numFmtId="0" fontId="12" fillId="15" borderId="12" xfId="0" applyFont="1" applyFill="1" applyBorder="1" applyAlignment="1">
      <alignment horizontal="center" textRotation="45"/>
    </xf>
    <xf numFmtId="0" fontId="12" fillId="14" borderId="12" xfId="0" applyFont="1" applyFill="1" applyBorder="1" applyAlignment="1">
      <alignment horizontal="center" textRotation="45"/>
    </xf>
    <xf numFmtId="0" fontId="12" fillId="0" borderId="0" xfId="0" applyFont="1" applyAlignment="1">
      <alignment horizontal="center" textRotation="45"/>
    </xf>
    <xf numFmtId="0" fontId="11" fillId="0" borderId="0" xfId="0" applyFont="1" applyAlignment="1">
      <alignment horizontal="center" vertical="center" textRotation="45"/>
    </xf>
    <xf numFmtId="0" fontId="15" fillId="0" borderId="0" xfId="0" applyFont="1" applyAlignment="1">
      <alignment horizontal="center" textRotation="45" wrapText="1"/>
    </xf>
    <xf numFmtId="0" fontId="13" fillId="0" borderId="0" xfId="0" applyFont="1" applyAlignment="1">
      <alignment horizontal="center" textRotation="45"/>
    </xf>
    <xf numFmtId="0" fontId="14" fillId="0" borderId="0" xfId="0" applyFont="1" applyAlignment="1">
      <alignment horizontal="center" vertical="center" textRotation="45" wrapText="1"/>
    </xf>
    <xf numFmtId="0" fontId="12" fillId="14" borderId="21" xfId="0" applyFont="1" applyFill="1" applyBorder="1" applyAlignment="1">
      <alignment horizontal="center" vertical="center" wrapText="1"/>
    </xf>
    <xf numFmtId="0" fontId="13" fillId="16" borderId="21" xfId="0" applyFont="1" applyFill="1" applyBorder="1" applyAlignment="1">
      <alignment horizontal="center" vertical="center" wrapText="1"/>
    </xf>
    <xf numFmtId="0" fontId="13" fillId="12" borderId="21" xfId="0" applyFont="1" applyFill="1" applyBorder="1" applyAlignment="1">
      <alignment horizontal="center" vertical="center" wrapText="1"/>
    </xf>
    <xf numFmtId="0" fontId="12" fillId="13" borderId="21" xfId="0" applyFont="1" applyFill="1" applyBorder="1" applyAlignment="1">
      <alignment horizontal="center" vertical="center" wrapText="1"/>
    </xf>
    <xf numFmtId="0" fontId="12" fillId="13" borderId="22" xfId="0" applyFont="1" applyFill="1" applyBorder="1" applyAlignment="1">
      <alignment horizontal="center" vertical="center" wrapText="1"/>
    </xf>
    <xf numFmtId="0" fontId="1" fillId="22" borderId="12" xfId="0" applyFont="1" applyFill="1" applyBorder="1" applyAlignment="1">
      <alignment vertical="center" wrapText="1"/>
    </xf>
    <xf numFmtId="0" fontId="1" fillId="0" borderId="0" xfId="0" applyFont="1" applyAlignment="1">
      <alignment vertical="center"/>
    </xf>
    <xf numFmtId="0" fontId="0" fillId="0" borderId="12" xfId="0" applyBorder="1" applyAlignment="1">
      <alignment horizontal="left" vertical="center" wrapText="1"/>
    </xf>
    <xf numFmtId="3" fontId="5" fillId="16" borderId="0" xfId="0" applyNumberFormat="1" applyFont="1" applyFill="1" applyAlignment="1">
      <alignment horizontal="right"/>
    </xf>
    <xf numFmtId="0" fontId="3" fillId="16" borderId="0" xfId="0" applyFont="1" applyFill="1" applyAlignment="1">
      <alignment horizontal="left"/>
    </xf>
    <xf numFmtId="0" fontId="10" fillId="24" borderId="12" xfId="0" applyFont="1" applyFill="1" applyBorder="1" applyAlignment="1">
      <alignment horizontal="center" vertical="center"/>
    </xf>
    <xf numFmtId="0" fontId="10" fillId="16" borderId="12" xfId="0" applyFont="1" applyFill="1" applyBorder="1" applyAlignment="1">
      <alignment horizontal="center" vertical="center"/>
    </xf>
    <xf numFmtId="0" fontId="0" fillId="0" borderId="12" xfId="0" applyBorder="1" applyAlignment="1">
      <alignment vertical="center" wrapText="1"/>
    </xf>
    <xf numFmtId="0" fontId="0" fillId="0" borderId="12" xfId="0" applyBorder="1" applyAlignment="1">
      <alignment horizontal="center" vertical="center"/>
    </xf>
    <xf numFmtId="0" fontId="16" fillId="22" borderId="12" xfId="0" applyFont="1" applyFill="1" applyBorder="1" applyAlignment="1">
      <alignment horizontal="center" vertical="center" wrapText="1"/>
    </xf>
    <xf numFmtId="0" fontId="1" fillId="0" borderId="12" xfId="0" applyFont="1" applyBorder="1" applyAlignment="1">
      <alignment vertical="center" wrapText="1"/>
    </xf>
    <xf numFmtId="0" fontId="0" fillId="0" borderId="14" xfId="0" applyBorder="1" applyAlignment="1">
      <alignment horizontal="left" vertical="center" wrapText="1"/>
    </xf>
    <xf numFmtId="0" fontId="13" fillId="0" borderId="0" xfId="0" applyFont="1" applyAlignment="1">
      <alignment horizontal="center" vertical="center" wrapText="1"/>
    </xf>
    <xf numFmtId="0" fontId="7" fillId="12" borderId="12" xfId="0" applyFont="1" applyFill="1" applyBorder="1" applyAlignment="1">
      <alignment horizontal="center" vertical="center" wrapText="1"/>
    </xf>
    <xf numFmtId="0" fontId="7" fillId="12" borderId="14" xfId="0" applyFont="1" applyFill="1" applyBorder="1" applyAlignment="1">
      <alignment horizontal="center" vertical="center" wrapText="1"/>
    </xf>
    <xf numFmtId="0" fontId="10" fillId="13" borderId="12" xfId="0" applyFont="1" applyFill="1" applyBorder="1" applyAlignment="1">
      <alignment horizontal="center" vertical="center" wrapText="1"/>
    </xf>
    <xf numFmtId="0" fontId="10" fillId="14" borderId="12" xfId="0" applyFont="1" applyFill="1" applyBorder="1" applyAlignment="1">
      <alignment horizontal="center" vertical="center" wrapText="1"/>
    </xf>
    <xf numFmtId="0" fontId="10" fillId="16" borderId="0" xfId="0" applyFont="1" applyFill="1"/>
    <xf numFmtId="0" fontId="8" fillId="0" borderId="12" xfId="2" applyFont="1" applyBorder="1" applyAlignment="1">
      <alignment horizontal="center" vertical="center"/>
    </xf>
    <xf numFmtId="0" fontId="8" fillId="0" borderId="12" xfId="2" applyFont="1" applyBorder="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center" vertical="center" wrapText="1"/>
    </xf>
    <xf numFmtId="0" fontId="0" fillId="0" borderId="13" xfId="0" applyBorder="1" applyAlignment="1">
      <alignment horizontal="left" vertical="center" wrapText="1"/>
    </xf>
    <xf numFmtId="0" fontId="3" fillId="17" borderId="12" xfId="0" applyFont="1" applyFill="1" applyBorder="1" applyAlignment="1">
      <alignment horizontal="left" vertical="center" wrapText="1"/>
    </xf>
    <xf numFmtId="0" fontId="1" fillId="0" borderId="12" xfId="0" applyFont="1" applyBorder="1" applyAlignment="1">
      <alignment horizontal="left" vertical="center" wrapText="1"/>
    </xf>
    <xf numFmtId="0" fontId="1" fillId="0" borderId="12" xfId="0" applyFont="1" applyBorder="1" applyAlignment="1">
      <alignment horizontal="center" vertical="center"/>
    </xf>
    <xf numFmtId="0" fontId="1" fillId="0" borderId="12" xfId="0" applyFont="1" applyBorder="1" applyAlignment="1">
      <alignment horizontal="center" vertical="center" wrapText="1"/>
    </xf>
    <xf numFmtId="0" fontId="1" fillId="0" borderId="12" xfId="0" quotePrefix="1" applyFont="1" applyBorder="1" applyAlignment="1">
      <alignment horizontal="left" vertical="center" wrapText="1"/>
    </xf>
    <xf numFmtId="0" fontId="1" fillId="0" borderId="0" xfId="0" quotePrefix="1" applyFont="1" applyAlignment="1">
      <alignment horizontal="left" vertical="center"/>
    </xf>
    <xf numFmtId="0" fontId="1" fillId="0" borderId="12" xfId="0" quotePrefix="1" applyFont="1" applyBorder="1" applyAlignment="1">
      <alignment vertical="center" wrapText="1"/>
    </xf>
    <xf numFmtId="0" fontId="10" fillId="13" borderId="0" xfId="0" applyFont="1" applyFill="1" applyAlignment="1">
      <alignment horizontal="center" vertical="center" wrapText="1"/>
    </xf>
    <xf numFmtId="0" fontId="10" fillId="14" borderId="0" xfId="0" applyFont="1" applyFill="1" applyAlignment="1">
      <alignment horizontal="center" vertical="center" wrapText="1"/>
    </xf>
    <xf numFmtId="0" fontId="1" fillId="0" borderId="12" xfId="0" applyFont="1" applyBorder="1"/>
    <xf numFmtId="0" fontId="0" fillId="7" borderId="12" xfId="0" applyFill="1" applyBorder="1"/>
    <xf numFmtId="0" fontId="9" fillId="0" borderId="0" xfId="0" applyFont="1" applyAlignment="1">
      <alignment horizontal="center" vertical="center"/>
    </xf>
    <xf numFmtId="0" fontId="0" fillId="0" borderId="0" xfId="0" applyAlignment="1">
      <alignment vertical="center" wrapText="1"/>
    </xf>
    <xf numFmtId="0" fontId="7" fillId="12" borderId="23" xfId="0" applyFont="1" applyFill="1" applyBorder="1" applyAlignment="1">
      <alignment horizontal="center" vertical="center"/>
    </xf>
    <xf numFmtId="0" fontId="17" fillId="13" borderId="23" xfId="0" applyFont="1" applyFill="1" applyBorder="1" applyAlignment="1">
      <alignment horizontal="center" vertical="center"/>
    </xf>
    <xf numFmtId="0" fontId="1" fillId="0" borderId="13" xfId="0" quotePrefix="1" applyFont="1" applyBorder="1" applyAlignment="1">
      <alignment horizontal="left" vertical="center" wrapText="1"/>
    </xf>
    <xf numFmtId="0" fontId="17" fillId="14" borderId="12" xfId="0" applyFont="1" applyFill="1" applyBorder="1" applyAlignment="1">
      <alignment horizontal="center" vertical="center"/>
    </xf>
    <xf numFmtId="0" fontId="1" fillId="0" borderId="15" xfId="0" quotePrefix="1" applyFont="1" applyBorder="1" applyAlignment="1">
      <alignment horizontal="left" vertical="center" wrapText="1"/>
    </xf>
    <xf numFmtId="0" fontId="10" fillId="0" borderId="0" xfId="0" applyFont="1" applyAlignment="1">
      <alignment horizontal="center" vertical="center" wrapText="1"/>
    </xf>
    <xf numFmtId="0" fontId="17" fillId="0" borderId="0" xfId="0" applyFont="1" applyAlignment="1">
      <alignment horizontal="center" vertical="center" wrapText="1"/>
    </xf>
    <xf numFmtId="0" fontId="1" fillId="0" borderId="0" xfId="0" quotePrefix="1" applyFont="1" applyAlignment="1">
      <alignment horizontal="left" vertical="center" wrapText="1"/>
    </xf>
    <xf numFmtId="0" fontId="1" fillId="0" borderId="0" xfId="0" quotePrefix="1" applyFont="1" applyAlignment="1">
      <alignment vertical="center" wrapText="1"/>
    </xf>
    <xf numFmtId="0" fontId="7" fillId="12" borderId="24" xfId="0" applyFont="1" applyFill="1" applyBorder="1" applyAlignment="1">
      <alignment horizontal="center" vertical="center"/>
    </xf>
    <xf numFmtId="0" fontId="17" fillId="13" borderId="24" xfId="0" applyFont="1" applyFill="1" applyBorder="1" applyAlignment="1">
      <alignment horizontal="center" vertical="center"/>
    </xf>
    <xf numFmtId="0" fontId="12" fillId="0" borderId="0" xfId="0" applyFont="1" applyAlignment="1">
      <alignment horizontal="center" vertical="center" wrapText="1"/>
    </xf>
    <xf numFmtId="0" fontId="7" fillId="12" borderId="25" xfId="0" applyFont="1" applyFill="1" applyBorder="1" applyAlignment="1">
      <alignment horizontal="center" vertical="center"/>
    </xf>
    <xf numFmtId="0" fontId="17" fillId="13" borderId="25" xfId="0" applyFont="1" applyFill="1" applyBorder="1" applyAlignment="1">
      <alignment horizontal="center" vertical="center"/>
    </xf>
    <xf numFmtId="0" fontId="7" fillId="12" borderId="7" xfId="0" applyFont="1" applyFill="1" applyBorder="1" applyAlignment="1">
      <alignment horizontal="center" vertical="center"/>
    </xf>
    <xf numFmtId="0" fontId="17" fillId="13" borderId="7" xfId="0" applyFont="1" applyFill="1" applyBorder="1" applyAlignment="1">
      <alignment horizontal="center" vertical="center"/>
    </xf>
    <xf numFmtId="0" fontId="17" fillId="23" borderId="7" xfId="0" applyFont="1" applyFill="1" applyBorder="1" applyAlignment="1">
      <alignment horizontal="center" vertical="center"/>
    </xf>
    <xf numFmtId="0" fontId="7" fillId="12" borderId="8" xfId="0" applyFont="1" applyFill="1" applyBorder="1" applyAlignment="1">
      <alignment horizontal="center" vertical="center"/>
    </xf>
    <xf numFmtId="0" fontId="17" fillId="14" borderId="8" xfId="0" applyFont="1" applyFill="1" applyBorder="1" applyAlignment="1">
      <alignment horizontal="center" vertical="center"/>
    </xf>
    <xf numFmtId="0" fontId="7" fillId="12" borderId="9" xfId="0" applyFont="1" applyFill="1" applyBorder="1" applyAlignment="1">
      <alignment horizontal="center" vertical="center"/>
    </xf>
    <xf numFmtId="0" fontId="17" fillId="14" borderId="9" xfId="0" applyFont="1" applyFill="1" applyBorder="1" applyAlignment="1">
      <alignment horizontal="center" vertical="center"/>
    </xf>
    <xf numFmtId="0" fontId="1" fillId="10" borderId="12" xfId="0" applyFont="1" applyFill="1" applyBorder="1" applyAlignment="1">
      <alignment horizontal="left" vertical="center" wrapText="1"/>
    </xf>
    <xf numFmtId="0" fontId="1" fillId="10" borderId="12" xfId="0" applyFont="1" applyFill="1" applyBorder="1" applyAlignment="1">
      <alignment horizontal="center" vertical="center"/>
    </xf>
    <xf numFmtId="0" fontId="7" fillId="0" borderId="0" xfId="0" applyFont="1" applyAlignment="1">
      <alignment horizontal="center" vertical="center"/>
    </xf>
    <xf numFmtId="0" fontId="17" fillId="0" borderId="0" xfId="0" applyFont="1" applyAlignment="1">
      <alignment horizontal="center" vertical="center"/>
    </xf>
    <xf numFmtId="0" fontId="17" fillId="13" borderId="7"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7" fillId="12" borderId="8" xfId="0" applyFont="1" applyFill="1" applyBorder="1" applyAlignment="1">
      <alignment horizontal="center" vertical="center" wrapText="1"/>
    </xf>
    <xf numFmtId="0" fontId="7" fillId="12" borderId="11" xfId="0" applyFont="1" applyFill="1" applyBorder="1" applyAlignment="1">
      <alignment horizontal="center" vertical="center" wrapText="1"/>
    </xf>
    <xf numFmtId="0" fontId="7" fillId="12" borderId="9" xfId="0" applyFont="1" applyFill="1" applyBorder="1" applyAlignment="1">
      <alignment horizontal="center" vertical="center" wrapText="1"/>
    </xf>
    <xf numFmtId="0" fontId="7" fillId="12" borderId="7" xfId="0" applyFont="1" applyFill="1" applyBorder="1" applyAlignment="1">
      <alignment horizontal="center" vertical="center" wrapText="1"/>
    </xf>
    <xf numFmtId="0" fontId="17" fillId="14" borderId="12"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10" fillId="13" borderId="8" xfId="0" applyFont="1" applyFill="1" applyBorder="1" applyAlignment="1">
      <alignment horizontal="center" vertical="center"/>
    </xf>
    <xf numFmtId="0" fontId="10" fillId="13" borderId="7" xfId="0" applyFont="1" applyFill="1" applyBorder="1" applyAlignment="1">
      <alignment horizontal="center" vertical="center" wrapText="1"/>
    </xf>
    <xf numFmtId="0" fontId="7" fillId="12" borderId="10" xfId="0" applyFont="1" applyFill="1" applyBorder="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left" vertical="center" wrapText="1"/>
    </xf>
    <xf numFmtId="0" fontId="20" fillId="0" borderId="0" xfId="0" quotePrefix="1" applyFont="1" applyAlignment="1">
      <alignment horizontal="left" vertical="center" wrapText="1"/>
    </xf>
    <xf numFmtId="0" fontId="7" fillId="12" borderId="17" xfId="0" applyFont="1" applyFill="1" applyBorder="1" applyAlignment="1">
      <alignment horizontal="center" vertical="center" wrapText="1"/>
    </xf>
    <xf numFmtId="0" fontId="10" fillId="13" borderId="17" xfId="0" applyFont="1" applyFill="1" applyBorder="1" applyAlignment="1">
      <alignment horizontal="center" vertical="center" wrapText="1"/>
    </xf>
    <xf numFmtId="0" fontId="10" fillId="13" borderId="11" xfId="0" applyFont="1" applyFill="1" applyBorder="1" applyAlignment="1">
      <alignment horizontal="center" vertical="center" wrapText="1"/>
    </xf>
    <xf numFmtId="0" fontId="10" fillId="14" borderId="12" xfId="0" applyFont="1" applyFill="1" applyBorder="1" applyAlignment="1">
      <alignment horizontal="center" vertical="center"/>
    </xf>
    <xf numFmtId="0" fontId="0" fillId="0" borderId="0" xfId="0" applyAlignment="1">
      <alignment horizontal="left" wrapText="1"/>
    </xf>
    <xf numFmtId="0" fontId="0" fillId="0" borderId="0" xfId="0" applyAlignment="1">
      <alignment horizontal="left"/>
    </xf>
    <xf numFmtId="0" fontId="8" fillId="0" borderId="12" xfId="2" applyFont="1" applyFill="1" applyBorder="1" applyAlignment="1">
      <alignment horizontal="center" vertical="center" wrapText="1"/>
    </xf>
    <xf numFmtId="0" fontId="8" fillId="0" borderId="12" xfId="2" applyFont="1" applyFill="1" applyBorder="1" applyAlignment="1">
      <alignment horizontal="center" vertical="center"/>
    </xf>
    <xf numFmtId="0" fontId="7" fillId="13" borderId="12" xfId="0" applyFont="1" applyFill="1" applyBorder="1" applyAlignment="1">
      <alignment horizontal="center" vertical="center"/>
    </xf>
    <xf numFmtId="0" fontId="1" fillId="0" borderId="13" xfId="0" quotePrefix="1" applyFont="1" applyBorder="1" applyAlignment="1">
      <alignment vertical="center" wrapText="1"/>
    </xf>
    <xf numFmtId="0" fontId="13" fillId="12" borderId="12" xfId="0" applyFont="1" applyFill="1" applyBorder="1" applyAlignment="1">
      <alignment horizontal="center" vertical="center" wrapText="1"/>
    </xf>
    <xf numFmtId="0" fontId="0" fillId="0" borderId="0" xfId="0" quotePrefix="1" applyAlignment="1">
      <alignment vertical="center" wrapText="1"/>
    </xf>
    <xf numFmtId="0" fontId="10" fillId="0" borderId="0" xfId="0" applyFont="1" applyAlignment="1">
      <alignment horizontal="center" vertical="center"/>
    </xf>
    <xf numFmtId="0" fontId="0" fillId="0" borderId="0" xfId="0" applyAlignment="1">
      <alignment wrapText="1"/>
    </xf>
    <xf numFmtId="0" fontId="0" fillId="12" borderId="18" xfId="0" applyFill="1" applyBorder="1"/>
    <xf numFmtId="0" fontId="0" fillId="16" borderId="26" xfId="0" applyFill="1" applyBorder="1"/>
    <xf numFmtId="0" fontId="3" fillId="19" borderId="13" xfId="0" applyFont="1" applyFill="1" applyBorder="1" applyAlignment="1">
      <alignment horizontal="left"/>
    </xf>
    <xf numFmtId="0" fontId="3" fillId="16" borderId="13" xfId="0" applyFont="1" applyFill="1" applyBorder="1" applyAlignment="1">
      <alignment horizontal="left"/>
    </xf>
    <xf numFmtId="0" fontId="1" fillId="18" borderId="26" xfId="0" applyFont="1" applyFill="1" applyBorder="1"/>
    <xf numFmtId="0" fontId="1" fillId="18" borderId="14" xfId="0" applyFont="1" applyFill="1" applyBorder="1"/>
    <xf numFmtId="0" fontId="1" fillId="0" borderId="12" xfId="0" applyFont="1" applyBorder="1" applyAlignment="1">
      <alignment vertical="center"/>
    </xf>
    <xf numFmtId="0" fontId="17" fillId="13" borderId="25" xfId="0" applyFont="1" applyFill="1" applyBorder="1" applyAlignment="1">
      <alignment horizontal="center" vertical="center" wrapText="1"/>
    </xf>
    <xf numFmtId="0" fontId="1" fillId="17" borderId="12" xfId="0" applyFont="1" applyFill="1" applyBorder="1" applyAlignment="1">
      <alignment horizontal="center" vertical="center"/>
    </xf>
    <xf numFmtId="0" fontId="2" fillId="3" borderId="4" xfId="0" applyFont="1" applyFill="1" applyBorder="1" applyAlignment="1">
      <alignment wrapText="1"/>
    </xf>
    <xf numFmtId="0" fontId="0" fillId="0" borderId="12" xfId="0" quotePrefix="1" applyBorder="1" applyAlignment="1">
      <alignment horizontal="left" vertical="center" wrapText="1"/>
    </xf>
    <xf numFmtId="0" fontId="12" fillId="14" borderId="12" xfId="0" applyFont="1" applyFill="1" applyBorder="1" applyAlignment="1">
      <alignment horizontal="left" textRotation="45"/>
    </xf>
    <xf numFmtId="0" fontId="12" fillId="15" borderId="12" xfId="0" applyFont="1" applyFill="1" applyBorder="1" applyAlignment="1">
      <alignment horizontal="left" textRotation="45"/>
    </xf>
    <xf numFmtId="0" fontId="12" fillId="15" borderId="12" xfId="0" applyFont="1" applyFill="1" applyBorder="1" applyAlignment="1">
      <alignment horizontal="left" textRotation="45" wrapText="1"/>
    </xf>
    <xf numFmtId="0" fontId="11" fillId="16" borderId="0" xfId="0" applyFont="1" applyFill="1" applyAlignment="1">
      <alignment horizontal="left" textRotation="45"/>
    </xf>
    <xf numFmtId="0" fontId="10" fillId="6" borderId="12" xfId="0" applyFont="1" applyFill="1" applyBorder="1" applyAlignment="1">
      <alignment horizontal="center" vertical="center"/>
    </xf>
    <xf numFmtId="0" fontId="1" fillId="0" borderId="0" xfId="0" applyFont="1" applyAlignment="1">
      <alignment horizontal="left" vertical="center" wrapText="1"/>
    </xf>
    <xf numFmtId="0" fontId="8" fillId="0" borderId="0" xfId="2" applyFont="1" applyFill="1" applyBorder="1" applyAlignment="1">
      <alignment horizontal="center" vertical="center"/>
    </xf>
    <xf numFmtId="0" fontId="1" fillId="0" borderId="15" xfId="0" applyFont="1" applyBorder="1" applyAlignment="1">
      <alignment horizontal="left" vertical="center" wrapText="1"/>
    </xf>
    <xf numFmtId="0" fontId="18" fillId="22" borderId="12" xfId="0" applyFont="1" applyFill="1" applyBorder="1" applyAlignment="1">
      <alignment horizontal="left" vertical="center" wrapText="1"/>
    </xf>
    <xf numFmtId="0" fontId="1" fillId="0" borderId="15" xfId="0" applyFont="1" applyBorder="1" applyAlignment="1">
      <alignment horizontal="center" vertical="center" wrapText="1"/>
    </xf>
    <xf numFmtId="0" fontId="8" fillId="0" borderId="0" xfId="2" applyFont="1" applyBorder="1" applyAlignment="1">
      <alignment horizontal="center" vertical="center" wrapText="1"/>
    </xf>
    <xf numFmtId="0" fontId="8" fillId="0" borderId="15" xfId="2" applyFont="1" applyBorder="1" applyAlignment="1">
      <alignment horizontal="center" vertical="center" wrapText="1"/>
    </xf>
    <xf numFmtId="0" fontId="0" fillId="0" borderId="17" xfId="0" applyBorder="1" applyAlignment="1">
      <alignment horizontal="left" vertical="center" wrapText="1"/>
    </xf>
    <xf numFmtId="0" fontId="1" fillId="0" borderId="17" xfId="0" quotePrefix="1" applyFont="1" applyBorder="1" applyAlignment="1">
      <alignment horizontal="left" vertical="center" wrapText="1"/>
    </xf>
    <xf numFmtId="0" fontId="0" fillId="18" borderId="26" xfId="0" applyFill="1" applyBorder="1"/>
    <xf numFmtId="0" fontId="0" fillId="17" borderId="0" xfId="0" applyFill="1"/>
    <xf numFmtId="0" fontId="17" fillId="14" borderId="15" xfId="0" applyFont="1" applyFill="1" applyBorder="1" applyAlignment="1">
      <alignment horizontal="center" vertical="center"/>
    </xf>
    <xf numFmtId="0" fontId="1" fillId="0" borderId="17" xfId="0" quotePrefix="1" applyFont="1" applyBorder="1" applyAlignment="1">
      <alignment vertical="center" wrapText="1"/>
    </xf>
    <xf numFmtId="0" fontId="17" fillId="13" borderId="13" xfId="0" applyFont="1" applyFill="1" applyBorder="1" applyAlignment="1">
      <alignment horizontal="center" vertical="center" wrapText="1"/>
    </xf>
    <xf numFmtId="0" fontId="0" fillId="0" borderId="15" xfId="0" applyBorder="1" applyAlignment="1">
      <alignment horizontal="left" vertical="center" wrapText="1"/>
    </xf>
    <xf numFmtId="0" fontId="26" fillId="0" borderId="0" xfId="2" applyFill="1" applyAlignment="1">
      <alignment horizontal="center" vertical="center"/>
    </xf>
    <xf numFmtId="0" fontId="26" fillId="0" borderId="0" xfId="2" applyFill="1" applyAlignment="1">
      <alignment horizontal="center" vertical="center" wrapText="1"/>
    </xf>
    <xf numFmtId="0" fontId="1" fillId="10" borderId="0" xfId="0" applyFont="1" applyFill="1"/>
    <xf numFmtId="0" fontId="8" fillId="10" borderId="12" xfId="2" applyFont="1" applyFill="1" applyBorder="1" applyAlignment="1">
      <alignment horizontal="center" vertical="center" wrapText="1"/>
    </xf>
    <xf numFmtId="0" fontId="1" fillId="10" borderId="15" xfId="0" applyFont="1" applyFill="1" applyBorder="1" applyAlignment="1">
      <alignment horizontal="left" vertical="center" wrapText="1"/>
    </xf>
    <xf numFmtId="0" fontId="1" fillId="10" borderId="15" xfId="0" applyFont="1" applyFill="1" applyBorder="1" applyAlignment="1">
      <alignment horizontal="center" vertical="center" wrapText="1"/>
    </xf>
    <xf numFmtId="0" fontId="1" fillId="0" borderId="15" xfId="0" applyFont="1" applyBorder="1" applyAlignment="1">
      <alignment horizontal="center" vertical="center"/>
    </xf>
    <xf numFmtId="0" fontId="26" fillId="10" borderId="12" xfId="2" applyFill="1" applyBorder="1" applyAlignment="1">
      <alignment horizontal="center" vertical="center" wrapText="1"/>
    </xf>
    <xf numFmtId="0" fontId="8" fillId="10" borderId="12" xfId="2" applyFont="1" applyFill="1" applyBorder="1" applyAlignment="1">
      <alignment horizontal="left" vertical="center" wrapText="1"/>
    </xf>
    <xf numFmtId="0" fontId="1" fillId="10" borderId="12" xfId="0" applyFont="1" applyFill="1" applyBorder="1" applyAlignment="1">
      <alignment vertical="center" wrapText="1"/>
    </xf>
    <xf numFmtId="0" fontId="26" fillId="0" borderId="12" xfId="2" applyBorder="1" applyAlignment="1">
      <alignment horizontal="center" vertical="center" wrapText="1"/>
    </xf>
    <xf numFmtId="0" fontId="1" fillId="10" borderId="12" xfId="0" applyFont="1" applyFill="1" applyBorder="1" applyAlignment="1">
      <alignment horizontal="left" vertical="center"/>
    </xf>
    <xf numFmtId="0" fontId="27" fillId="10" borderId="0" xfId="0" applyFont="1" applyFill="1" applyAlignment="1">
      <alignment horizontal="center" vertical="center" wrapText="1"/>
    </xf>
    <xf numFmtId="0" fontId="8" fillId="10" borderId="0" xfId="2" applyFont="1" applyFill="1" applyAlignment="1">
      <alignment horizontal="center" vertical="center" wrapText="1"/>
    </xf>
    <xf numFmtId="0" fontId="26" fillId="0" borderId="12" xfId="2" applyFill="1" applyBorder="1" applyAlignment="1">
      <alignment horizontal="center" vertical="center" wrapText="1"/>
    </xf>
    <xf numFmtId="0" fontId="1" fillId="0" borderId="12" xfId="0" applyFont="1" applyBorder="1" applyAlignment="1">
      <alignment horizontal="left" vertical="center"/>
    </xf>
    <xf numFmtId="0" fontId="1" fillId="0" borderId="15" xfId="0" applyFont="1" applyBorder="1" applyAlignment="1">
      <alignment vertical="center" wrapText="1"/>
    </xf>
    <xf numFmtId="0" fontId="8" fillId="0" borderId="15" xfId="2" applyFont="1" applyFill="1" applyBorder="1" applyAlignment="1">
      <alignment horizontal="center" vertical="center" wrapText="1"/>
    </xf>
    <xf numFmtId="0" fontId="28" fillId="0" borderId="0" xfId="0" applyFont="1" applyAlignment="1">
      <alignment vertical="center"/>
    </xf>
    <xf numFmtId="0" fontId="26" fillId="0" borderId="12" xfId="2" applyBorder="1" applyAlignment="1">
      <alignment horizontal="center" vertical="center"/>
    </xf>
    <xf numFmtId="0" fontId="26" fillId="0" borderId="12" xfId="2" applyFill="1" applyBorder="1" applyAlignment="1">
      <alignment horizontal="center" vertical="center"/>
    </xf>
    <xf numFmtId="0" fontId="17" fillId="13" borderId="27" xfId="0" applyFont="1" applyFill="1" applyBorder="1" applyAlignment="1">
      <alignment horizontal="center" vertical="center" wrapText="1"/>
    </xf>
    <xf numFmtId="0" fontId="10" fillId="13" borderId="28" xfId="0" applyFont="1" applyFill="1" applyBorder="1" applyAlignment="1">
      <alignment horizontal="center" vertical="center" wrapText="1"/>
    </xf>
    <xf numFmtId="0" fontId="12" fillId="14" borderId="12" xfId="0" applyFont="1" applyFill="1" applyBorder="1" applyAlignment="1">
      <alignment horizontal="center" vertical="center" wrapText="1"/>
    </xf>
    <xf numFmtId="0" fontId="12" fillId="13" borderId="12" xfId="0" applyFont="1" applyFill="1" applyBorder="1" applyAlignment="1">
      <alignment horizontal="center" vertical="center" wrapText="1"/>
    </xf>
    <xf numFmtId="0" fontId="17" fillId="14" borderId="8" xfId="0" applyFont="1" applyFill="1" applyBorder="1" applyAlignment="1">
      <alignment horizontal="center" vertical="center" wrapText="1"/>
    </xf>
    <xf numFmtId="0" fontId="1" fillId="22" borderId="12" xfId="0" applyFont="1" applyFill="1" applyBorder="1" applyAlignment="1">
      <alignment horizontal="left" vertical="center" wrapText="1"/>
    </xf>
    <xf numFmtId="0" fontId="32" fillId="22" borderId="12" xfId="0" applyFont="1" applyFill="1" applyBorder="1" applyAlignment="1">
      <alignment horizontal="center" vertical="center" wrapText="1"/>
    </xf>
    <xf numFmtId="0" fontId="10" fillId="14" borderId="21" xfId="0" applyFont="1" applyFill="1" applyBorder="1" applyAlignment="1">
      <alignment horizontal="center" vertical="center" wrapText="1"/>
    </xf>
    <xf numFmtId="0" fontId="33" fillId="0" borderId="0" xfId="0" applyFont="1" applyAlignment="1">
      <alignment vertical="top" wrapText="1"/>
    </xf>
    <xf numFmtId="0" fontId="34" fillId="18" borderId="12" xfId="0" applyFont="1" applyFill="1" applyBorder="1" applyAlignment="1">
      <alignment horizontal="center" textRotation="45"/>
    </xf>
    <xf numFmtId="0" fontId="1" fillId="0" borderId="0" xfId="0" applyFont="1" applyFill="1" applyBorder="1"/>
    <xf numFmtId="0" fontId="0" fillId="0" borderId="0" xfId="0" applyFill="1" applyBorder="1"/>
    <xf numFmtId="0" fontId="3" fillId="3" borderId="2" xfId="0" applyFont="1" applyFill="1" applyBorder="1" applyAlignment="1">
      <alignment horizontal="center"/>
    </xf>
    <xf numFmtId="0" fontId="3" fillId="3" borderId="3" xfId="0" applyFont="1" applyFill="1" applyBorder="1" applyAlignment="1">
      <alignment horizontal="center"/>
    </xf>
    <xf numFmtId="0" fontId="1" fillId="0" borderId="12" xfId="0" applyFont="1" applyBorder="1" applyAlignment="1">
      <alignment horizontal="left" vertical="center" wrapText="1"/>
    </xf>
    <xf numFmtId="0" fontId="0" fillId="0" borderId="12" xfId="0" applyBorder="1" applyAlignment="1">
      <alignment horizontal="left" vertical="center" wrapText="1"/>
    </xf>
    <xf numFmtId="0" fontId="7" fillId="18" borderId="13" xfId="0" applyFont="1" applyFill="1" applyBorder="1" applyAlignment="1">
      <alignment horizontal="center" vertical="center" wrapText="1"/>
    </xf>
    <xf numFmtId="0" fontId="7" fillId="18" borderId="26" xfId="0" applyFont="1" applyFill="1" applyBorder="1" applyAlignment="1">
      <alignment horizontal="center" vertical="center" wrapText="1"/>
    </xf>
    <xf numFmtId="0" fontId="7" fillId="18" borderId="14" xfId="0" applyFont="1" applyFill="1" applyBorder="1" applyAlignment="1">
      <alignment horizontal="center" vertical="center" wrapText="1"/>
    </xf>
    <xf numFmtId="0" fontId="1" fillId="0" borderId="15" xfId="0" applyFont="1" applyBorder="1" applyAlignment="1">
      <alignment horizontal="left" vertical="center" wrapText="1"/>
    </xf>
    <xf numFmtId="0" fontId="1" fillId="0" borderId="21" xfId="0" applyFont="1" applyBorder="1" applyAlignment="1">
      <alignment horizontal="left" vertical="center" wrapText="1"/>
    </xf>
    <xf numFmtId="0" fontId="1" fillId="0" borderId="17" xfId="0" applyFont="1" applyBorder="1" applyAlignment="1">
      <alignment horizontal="left" vertical="center" wrapText="1"/>
    </xf>
    <xf numFmtId="0" fontId="1" fillId="0" borderId="15" xfId="0" applyFont="1" applyBorder="1" applyAlignment="1">
      <alignment horizontal="center" vertical="center"/>
    </xf>
    <xf numFmtId="0" fontId="1" fillId="0" borderId="21" xfId="0" applyFont="1" applyBorder="1" applyAlignment="1">
      <alignment horizontal="center" vertical="center"/>
    </xf>
    <xf numFmtId="0" fontId="1" fillId="0" borderId="17" xfId="0" applyFont="1" applyBorder="1" applyAlignment="1">
      <alignment horizontal="center" vertical="center"/>
    </xf>
    <xf numFmtId="0" fontId="1" fillId="10" borderId="15" xfId="0" applyFont="1" applyFill="1" applyBorder="1" applyAlignment="1">
      <alignment horizontal="center" vertical="center"/>
    </xf>
    <xf numFmtId="0" fontId="1" fillId="10" borderId="17" xfId="0" applyFont="1" applyFill="1" applyBorder="1" applyAlignment="1">
      <alignment horizontal="center" vertical="center"/>
    </xf>
    <xf numFmtId="0" fontId="1" fillId="10" borderId="15" xfId="0" applyFont="1" applyFill="1" applyBorder="1" applyAlignment="1">
      <alignment horizontal="left" vertical="center" wrapText="1"/>
    </xf>
    <xf numFmtId="0" fontId="1" fillId="10" borderId="17" xfId="0" applyFont="1" applyFill="1" applyBorder="1" applyAlignment="1">
      <alignment horizontal="left" vertical="center" wrapText="1"/>
    </xf>
    <xf numFmtId="0" fontId="1" fillId="0" borderId="15"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7" xfId="0" applyFont="1" applyBorder="1" applyAlignment="1">
      <alignment horizontal="center" vertical="center" wrapText="1"/>
    </xf>
    <xf numFmtId="0" fontId="13" fillId="16" borderId="21" xfId="0" applyFont="1" applyFill="1" applyBorder="1" applyAlignment="1">
      <alignment horizontal="center" vertical="center" wrapText="1"/>
    </xf>
    <xf numFmtId="0" fontId="13" fillId="16" borderId="17" xfId="0" applyFont="1" applyFill="1" applyBorder="1" applyAlignment="1">
      <alignment horizontal="center" vertical="center" wrapText="1"/>
    </xf>
    <xf numFmtId="0" fontId="13" fillId="16" borderId="15" xfId="0" applyFont="1" applyFill="1" applyBorder="1" applyAlignment="1">
      <alignment horizontal="center" vertical="center" wrapText="1"/>
    </xf>
    <xf numFmtId="0" fontId="0" fillId="0" borderId="21" xfId="0" applyBorder="1" applyAlignment="1">
      <alignment horizontal="left" vertical="center" wrapText="1"/>
    </xf>
    <xf numFmtId="0" fontId="0" fillId="0" borderId="17" xfId="0" applyBorder="1" applyAlignment="1">
      <alignment horizontal="left" vertical="center" wrapText="1"/>
    </xf>
    <xf numFmtId="0" fontId="0" fillId="0" borderId="21" xfId="0" applyBorder="1" applyAlignment="1">
      <alignment horizontal="center" vertical="center"/>
    </xf>
    <xf numFmtId="0" fontId="0" fillId="0" borderId="17" xfId="0" applyBorder="1" applyAlignment="1">
      <alignment horizontal="center" vertical="center"/>
    </xf>
    <xf numFmtId="0" fontId="0" fillId="0" borderId="12" xfId="0" applyBorder="1" applyAlignment="1">
      <alignment horizontal="center" vertical="center"/>
    </xf>
    <xf numFmtId="0" fontId="1" fillId="0" borderId="15" xfId="0" applyFont="1" applyBorder="1" applyAlignment="1">
      <alignment vertical="center" wrapText="1"/>
    </xf>
    <xf numFmtId="0" fontId="1" fillId="0" borderId="17" xfId="0" applyFont="1" applyBorder="1" applyAlignment="1">
      <alignment vertical="center" wrapText="1"/>
    </xf>
    <xf numFmtId="0" fontId="0" fillId="0" borderId="15" xfId="0" applyBorder="1" applyAlignment="1">
      <alignment horizontal="center" vertical="center"/>
    </xf>
    <xf numFmtId="0" fontId="1" fillId="0" borderId="21" xfId="0" applyFont="1" applyBorder="1" applyAlignment="1">
      <alignment vertical="center" wrapText="1"/>
    </xf>
    <xf numFmtId="0" fontId="0" fillId="0" borderId="17" xfId="0" applyBorder="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lignment horizontal="left" vertical="center"/>
    </xf>
    <xf numFmtId="0" fontId="0" fillId="0" borderId="12" xfId="0" applyBorder="1" applyAlignment="1">
      <alignment horizontal="left" vertical="center"/>
    </xf>
    <xf numFmtId="0" fontId="1" fillId="10" borderId="21" xfId="0" applyFont="1" applyFill="1" applyBorder="1" applyAlignment="1">
      <alignment horizontal="left" vertical="center" wrapText="1"/>
    </xf>
    <xf numFmtId="0" fontId="1" fillId="10" borderId="15" xfId="0" applyFont="1" applyFill="1" applyBorder="1" applyAlignment="1">
      <alignment horizontal="center" vertical="center" wrapText="1"/>
    </xf>
    <xf numFmtId="0" fontId="1" fillId="10" borderId="21" xfId="0" applyFont="1" applyFill="1" applyBorder="1" applyAlignment="1">
      <alignment horizontal="center" vertical="center" wrapText="1"/>
    </xf>
    <xf numFmtId="0" fontId="8" fillId="0" borderId="12" xfId="2" applyFont="1" applyBorder="1" applyAlignment="1">
      <alignment horizontal="center" vertical="center" wrapText="1"/>
    </xf>
    <xf numFmtId="0" fontId="1" fillId="0" borderId="15" xfId="0" applyFont="1" applyBorder="1" applyAlignment="1">
      <alignment horizontal="left" vertical="center"/>
    </xf>
    <xf numFmtId="0" fontId="1" fillId="0" borderId="17" xfId="0" applyFont="1" applyBorder="1" applyAlignment="1">
      <alignment horizontal="left" vertical="center"/>
    </xf>
    <xf numFmtId="0" fontId="0" fillId="0" borderId="17" xfId="0" applyBorder="1" applyAlignment="1">
      <alignment vertical="center" wrapText="1"/>
    </xf>
    <xf numFmtId="0" fontId="13" fillId="25" borderId="21" xfId="0" applyFont="1" applyFill="1" applyBorder="1" applyAlignment="1">
      <alignment horizontal="center" vertical="center" wrapText="1"/>
    </xf>
    <xf numFmtId="0" fontId="13" fillId="25" borderId="17" xfId="0" applyFont="1" applyFill="1" applyBorder="1" applyAlignment="1">
      <alignment horizontal="center" vertical="center" wrapText="1"/>
    </xf>
    <xf numFmtId="0" fontId="13" fillId="25" borderId="15" xfId="0" applyFont="1" applyFill="1" applyBorder="1" applyAlignment="1">
      <alignment horizontal="center" vertical="center" wrapText="1"/>
    </xf>
    <xf numFmtId="0" fontId="7" fillId="25" borderId="21" xfId="0" applyFont="1" applyFill="1" applyBorder="1" applyAlignment="1">
      <alignment horizontal="center" vertical="center"/>
    </xf>
    <xf numFmtId="0" fontId="7" fillId="25" borderId="17" xfId="0" applyFont="1" applyFill="1" applyBorder="1" applyAlignment="1">
      <alignment horizontal="center" vertical="center"/>
    </xf>
    <xf numFmtId="0" fontId="1" fillId="0" borderId="12" xfId="0" applyFont="1" applyBorder="1" applyAlignment="1">
      <alignment horizontal="center" vertical="center"/>
    </xf>
    <xf numFmtId="0" fontId="8" fillId="0" borderId="15" xfId="2" applyFont="1" applyBorder="1" applyAlignment="1">
      <alignment horizontal="center" vertical="center" wrapText="1"/>
    </xf>
    <xf numFmtId="0" fontId="8" fillId="0" borderId="17" xfId="2" applyFont="1" applyBorder="1" applyAlignment="1">
      <alignment horizontal="center" vertical="center" wrapText="1"/>
    </xf>
    <xf numFmtId="0" fontId="1" fillId="10" borderId="17" xfId="0" applyFont="1" applyFill="1" applyBorder="1" applyAlignment="1">
      <alignment horizontal="center" vertical="center" wrapText="1"/>
    </xf>
    <xf numFmtId="0" fontId="7" fillId="12" borderId="13" xfId="0" applyFont="1" applyFill="1" applyBorder="1" applyAlignment="1">
      <alignment horizontal="center" vertical="center" wrapText="1"/>
    </xf>
    <xf numFmtId="0" fontId="7" fillId="12" borderId="26" xfId="0" applyFont="1" applyFill="1" applyBorder="1" applyAlignment="1">
      <alignment horizontal="center" vertical="center" wrapText="1"/>
    </xf>
    <xf numFmtId="0" fontId="7" fillId="12" borderId="14" xfId="0" applyFont="1" applyFill="1" applyBorder="1" applyAlignment="1">
      <alignment horizontal="center" vertical="center" wrapText="1"/>
    </xf>
    <xf numFmtId="0" fontId="1" fillId="0" borderId="15" xfId="2" applyFont="1" applyBorder="1" applyAlignment="1">
      <alignment vertical="center" wrapText="1"/>
    </xf>
    <xf numFmtId="0" fontId="29" fillId="0" borderId="17" xfId="2" applyFont="1" applyBorder="1" applyAlignment="1">
      <alignment vertical="center" wrapText="1"/>
    </xf>
    <xf numFmtId="0" fontId="1" fillId="0" borderId="15" xfId="0" quotePrefix="1" applyFont="1" applyBorder="1" applyAlignment="1">
      <alignment horizontal="left" vertical="center" wrapText="1"/>
    </xf>
    <xf numFmtId="0" fontId="1" fillId="0" borderId="17" xfId="0" quotePrefix="1" applyFont="1" applyBorder="1" applyAlignment="1">
      <alignment horizontal="left" vertical="center" wrapText="1"/>
    </xf>
    <xf numFmtId="0" fontId="0" fillId="0" borderId="15" xfId="0" applyBorder="1" applyAlignment="1">
      <alignment vertical="center" wrapText="1"/>
    </xf>
    <xf numFmtId="0" fontId="31" fillId="26" borderId="15" xfId="0" applyFont="1" applyFill="1" applyBorder="1" applyAlignment="1">
      <alignment vertical="center" wrapText="1"/>
    </xf>
    <xf numFmtId="0" fontId="31" fillId="26" borderId="17" xfId="0" applyFont="1" applyFill="1" applyBorder="1" applyAlignment="1">
      <alignment vertical="center" wrapText="1"/>
    </xf>
    <xf numFmtId="0" fontId="30" fillId="26" borderId="0" xfId="0" applyFont="1" applyFill="1"/>
    <xf numFmtId="0" fontId="0" fillId="26" borderId="0" xfId="0" applyFill="1"/>
    <xf numFmtId="0" fontId="14" fillId="22" borderId="12" xfId="0" applyFont="1" applyFill="1" applyBorder="1" applyAlignment="1">
      <alignment horizontal="center" vertical="center" wrapText="1"/>
    </xf>
    <xf numFmtId="0" fontId="37" fillId="22" borderId="12" xfId="0" applyFont="1" applyFill="1" applyBorder="1" applyAlignment="1">
      <alignment horizontal="center" vertical="center" wrapText="1"/>
    </xf>
  </cellXfs>
  <cellStyles count="3">
    <cellStyle name="Enllaç" xfId="2" builtinId="8"/>
    <cellStyle name="Normal" xfId="0" builtinId="0"/>
    <cellStyle name="Percentatge" xfId="1" builtinId="5"/>
  </cellStyles>
  <dxfs count="840">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ill>
        <patternFill>
          <bgColor rgb="FF00B050"/>
        </patternFill>
      </fill>
    </dxf>
    <dxf>
      <fill>
        <patternFill>
          <bgColor rgb="FFC00000"/>
        </patternFill>
      </fill>
    </dxf>
    <dxf>
      <fill>
        <patternFill>
          <bgColor theme="7" tint="0.39994506668294322"/>
        </patternFill>
      </fill>
    </dxf>
    <dxf>
      <fill>
        <patternFill>
          <bgColor theme="0" tint="-4.9989318521683403E-2"/>
        </patternFill>
      </fill>
    </dxf>
    <dxf>
      <fill>
        <patternFill>
          <bgColor theme="0" tint="-0.499984740745262"/>
        </patternFill>
      </fill>
    </dxf>
    <dxf>
      <font>
        <b val="0"/>
        <i val="0"/>
        <strike val="0"/>
        <condense val="0"/>
        <extend val="0"/>
        <outline val="0"/>
        <shadow val="0"/>
        <u val="none"/>
        <vertAlign val="baseline"/>
        <sz val="10"/>
        <color auto="1"/>
        <name val="Arial"/>
        <scheme val="none"/>
      </font>
    </dxf>
    <dxf>
      <fill>
        <patternFill>
          <bgColor theme="0" tint="-4.9989318521683403E-2"/>
        </patternFill>
      </fill>
    </dxf>
    <dxf>
      <font>
        <color rgb="FF9C0006"/>
      </font>
      <fill>
        <patternFill>
          <bgColor rgb="FFFFC7CE"/>
        </patternFill>
      </fill>
    </dxf>
    <dxf>
      <font>
        <color rgb="FF9C5700"/>
      </font>
      <fill>
        <patternFill>
          <bgColor rgb="FFFFEB9C"/>
        </patternFill>
      </fill>
    </dxf>
    <dxf>
      <font>
        <color theme="9" tint="-0.499984740745262"/>
      </font>
      <fill>
        <patternFill>
          <bgColor theme="9" tint="0.399945066682943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333333"/>
      <rgbColor rgb="00FFFFFF"/>
      <rgbColor rgb="00FF0000"/>
      <rgbColor rgb="0000FF00"/>
      <rgbColor rgb="0089BEBA"/>
      <rgbColor rgb="00FFFF00"/>
      <rgbColor rgb="00FF00FF"/>
      <rgbColor rgb="0000FFFF"/>
      <rgbColor rgb="00800000"/>
      <rgbColor rgb="00008000"/>
      <rgbColor rgb="00000080"/>
      <rgbColor rgb="00808000"/>
      <rgbColor rgb="00800080"/>
      <rgbColor rgb="00008080"/>
      <rgbColor rgb="00C0C0C0"/>
      <rgbColor rgb="00F3F4F7"/>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DDEEEC"/>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E7E9EE"/>
    </indexedColors>
    <mruColors>
      <color rgb="FF003300"/>
      <color rgb="FFCCCC00"/>
      <color rgb="FFFAA6A4"/>
      <color rgb="FFFFCDCD"/>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90710</xdr:colOff>
      <xdr:row>0</xdr:row>
      <xdr:rowOff>235847</xdr:rowOff>
    </xdr:from>
    <xdr:to>
      <xdr:col>0</xdr:col>
      <xdr:colOff>3184071</xdr:colOff>
      <xdr:row>0</xdr:row>
      <xdr:rowOff>997957</xdr:rowOff>
    </xdr:to>
    <xdr:pic>
      <xdr:nvPicPr>
        <xdr:cNvPr id="17" name="Imatge 16" descr="https://identitatcorporativa.gencat.cat/web/.content/Documentacio/descarregues/dpt/BN/AClimatica-Alimentacio/scaclimatica_blanc_h3.png">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10" y="235847"/>
          <a:ext cx="3093361" cy="762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350610</xdr:colOff>
      <xdr:row>1</xdr:row>
      <xdr:rowOff>1631949</xdr:rowOff>
    </xdr:from>
    <xdr:to>
      <xdr:col>1</xdr:col>
      <xdr:colOff>3117465</xdr:colOff>
      <xdr:row>1</xdr:row>
      <xdr:rowOff>2398032</xdr:rowOff>
    </xdr:to>
    <xdr:pic>
      <xdr:nvPicPr>
        <xdr:cNvPr id="4" name="Picture 3">
          <a:extLst>
            <a:ext uri="{FF2B5EF4-FFF2-40B4-BE49-F238E27FC236}">
              <a16:creationId xmlns:a16="http://schemas.microsoft.com/office/drawing/2014/main" id="{29DBA32B-F2C3-1EA0-728A-C74373934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3896" y="1795235"/>
          <a:ext cx="2763680" cy="766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19" name="Tabla19" displayName="Tabla19" ref="A1:D38" totalsRowShown="0" headerRowDxfId="835">
  <autoFilter ref="A1:D38"/>
  <tableColumns count="4">
    <tableColumn id="1" name="Industria"/>
    <tableColumn id="2" name="Tema"/>
    <tableColumn id="3" name="Fuente"/>
    <tableColumn id="4" name="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sasb.org/standards/materiality-finder/find/?industry%5B0%5D=TR-RA" TargetMode="External"/><Relationship Id="rId1" Type="http://schemas.openxmlformats.org/officeDocument/2006/relationships/hyperlink" Target="https://sasb.org/standards/materiality-finder/find/?industry%5B0%5D=TC-SI"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iso.org/iso-14001-environmental-management.html" TargetMode="External"/><Relationship Id="rId13" Type="http://schemas.openxmlformats.org/officeDocument/2006/relationships/hyperlink" Target="https://saiplatform.org/resource-centre/fsa/" TargetMode="External"/><Relationship Id="rId18" Type="http://schemas.openxmlformats.org/officeDocument/2006/relationships/hyperlink" Target="https://www.boe.es/buscar/act.php?id=BOE-A-2022-5809" TargetMode="External"/><Relationship Id="rId26" Type="http://schemas.openxmlformats.org/officeDocument/2006/relationships/hyperlink" Target="https://eippcb.jrc.ec.europa.eu/sites/default/files/2019-11/JRC107189_IRPP_Bref_2017_published.pdf" TargetMode="External"/><Relationship Id="rId39" Type="http://schemas.openxmlformats.org/officeDocument/2006/relationships/hyperlink" Target="https://agricultura.gencat.cat/ca/detalls/Noticia/Pautes-per-a-la-gestio-conjunta-dels-sistemes-dautocontrol-de-la-Qualitat-i-Seguretat-Alimentaries-basats-en-lAPPCC-00004" TargetMode="External"/><Relationship Id="rId3" Type="http://schemas.openxmlformats.org/officeDocument/2006/relationships/hyperlink" Target="https://sede.agenciatributaria.gob.es/Sede/impuestos-especiales-medioambientales/impuesto-especial-sobre-envases-plastico-reutilizables.html" TargetMode="External"/><Relationship Id="rId21" Type="http://schemas.openxmlformats.org/officeDocument/2006/relationships/hyperlink" Target="https://www.aecoc.es/servicios/leangreen-espana/" TargetMode="External"/><Relationship Id="rId34" Type="http://schemas.openxmlformats.org/officeDocument/2006/relationships/hyperlink" Target="https://mediambient.gencat.cat/ca/05_ambits_dactuacio/empresa_i_produccio_sostenible/sistemes_de_gestio/sistemes_de_gestio_ambiental_iso_14001_i_emas/emas/publicacions/altres_publicacions_i_guies/" TargetMode="External"/><Relationship Id="rId42" Type="http://schemas.openxmlformats.org/officeDocument/2006/relationships/hyperlink" Target="https://canviclimatic.gencat.cat/ca/oficina/index.html" TargetMode="External"/><Relationship Id="rId47" Type="http://schemas.openxmlformats.org/officeDocument/2006/relationships/printerSettings" Target="../printerSettings/printerSettings3.bin"/><Relationship Id="rId7" Type="http://schemas.openxmlformats.org/officeDocument/2006/relationships/hyperlink" Target="https://www.boe.es/buscar/doc.php?id=BOE-A-2020-12214" TargetMode="External"/><Relationship Id="rId12" Type="http://schemas.openxmlformats.org/officeDocument/2006/relationships/hyperlink" Target="https://www.fairtrade.es/wp-content/uploads/2022/09/Guia-Rapida-Fairtrade-para-empresas-V2-converted.pdf" TargetMode="External"/><Relationship Id="rId17" Type="http://schemas.openxmlformats.org/officeDocument/2006/relationships/hyperlink" Target="https://www.agriculturaregenerativa.es/" TargetMode="External"/><Relationship Id="rId25" Type="http://schemas.openxmlformats.org/officeDocument/2006/relationships/hyperlink" Target="https://eippcb.jrc.ec.europa.eu/reference/food-drink-and-milk-industries" TargetMode="External"/><Relationship Id="rId33" Type="http://schemas.openxmlformats.org/officeDocument/2006/relationships/hyperlink" Target="https://agricultura.gencat.cat/ca/ambits/alimentacio/malbaratament-alimentari/normativa/index.html" TargetMode="External"/><Relationship Id="rId38" Type="http://schemas.openxmlformats.org/officeDocument/2006/relationships/hyperlink" Target="https://recursos-formatius-ens.diba.cat/ca/diccionari-competencies/projectes-estrategics-de-desenvolupament-economic-local" TargetMode="External"/><Relationship Id="rId46" Type="http://schemas.openxmlformats.org/officeDocument/2006/relationships/hyperlink" Target="https://c2ccertified.org/the-standard" TargetMode="External"/><Relationship Id="rId2" Type="http://schemas.openxmlformats.org/officeDocument/2006/relationships/hyperlink" Target="https://eur-lex.europa.eu/ES/legal-content/summary/single-use-plastics-fighting-the-impact-on-the-environment.html" TargetMode="External"/><Relationship Id="rId16" Type="http://schemas.openxmlformats.org/officeDocument/2006/relationships/hyperlink" Target="https://internationalfoodwastecoalition.org/" TargetMode="External"/><Relationship Id="rId20" Type="http://schemas.openxmlformats.org/officeDocument/2006/relationships/hyperlink" Target="https://act.gencat.cat/wp-content/uploads/2019/05/CAT-ACT-POL%C3%8DTICA-DE-PRIVACITAT.pdf" TargetMode="External"/><Relationship Id="rId29" Type="http://schemas.openxmlformats.org/officeDocument/2006/relationships/hyperlink" Target="https://finance.ec.europa.eu/capital-markets-union-and-financial-markets/company-reporting-and-auditing/company-reporting/corporate-sustainability-reporting_en" TargetMode="External"/><Relationship Id="rId41" Type="http://schemas.openxmlformats.org/officeDocument/2006/relationships/hyperlink" Target="https://acsa.gencat.cat/ca/Publicacions/pla-de-seguretat-alimentaria-de-catalunya/pla-de-seguretat-alimentaria-de-catalunya-2022-2026/index.html" TargetMode="External"/><Relationship Id="rId1" Type="http://schemas.openxmlformats.org/officeDocument/2006/relationships/hyperlink" Target="https://sustainablepackaging.org/" TargetMode="External"/><Relationship Id="rId6" Type="http://schemas.openxmlformats.org/officeDocument/2006/relationships/hyperlink" Target="https://mediambient.gencat.cat/ca/05_ambits_dactuacio/empresa_i_produccio_sostenible/sistemes_de_gestio/sistemes_de_gestio_ambiental_iso_14001_i_emas/emas/index.html" TargetMode="External"/><Relationship Id="rId11" Type="http://schemas.openxmlformats.org/officeDocument/2006/relationships/hyperlink" Target="https://rspo.org/resources/?category=standards-review-2022-2023&amp;id=35102" TargetMode="External"/><Relationship Id="rId24" Type="http://schemas.openxmlformats.org/officeDocument/2006/relationships/hyperlink" Target="https://www.iso.org/standard/63026.html" TargetMode="External"/><Relationship Id="rId32" Type="http://schemas.openxmlformats.org/officeDocument/2006/relationships/hyperlink" Target="https://www.pactomundial.org/wp-content/uploads/2021/10/Codigo_conducta_proveedores.pdf" TargetMode="External"/><Relationship Id="rId37" Type="http://schemas.openxmlformats.org/officeDocument/2006/relationships/hyperlink" Target="https://govern.cat/gov/pla-govern?eix=0&amp;ambit=1" TargetMode="External"/><Relationship Id="rId40" Type="http://schemas.openxmlformats.org/officeDocument/2006/relationships/hyperlink" Target="https://agricultura.gencat.cat/ca/ambits/alimentacio/cadena-alimentaria/codi-bones-practiques-comercials/index.html" TargetMode="External"/><Relationship Id="rId45" Type="http://schemas.openxmlformats.org/officeDocument/2006/relationships/hyperlink" Target="https://ellenmacarthurfoundation.org/es" TargetMode="External"/><Relationship Id="rId5" Type="http://schemas.openxmlformats.org/officeDocument/2006/relationships/hyperlink" Target="https://www.iso.org/iso-9001-quality-management.html" TargetMode="External"/><Relationship Id="rId15" Type="http://schemas.openxmlformats.org/officeDocument/2006/relationships/hyperlink" Target="https://food.ec.europa.eu/safety/food-waste/eu-actions-against-food-waste/food-waste-reduction-targets_en" TargetMode="External"/><Relationship Id="rId23" Type="http://schemas.openxmlformats.org/officeDocument/2006/relationships/hyperlink" Target="https://environment.ec.europa.eu/topics/circular-economy/eu-ecolabel-home/product-groups-and-criteria_en" TargetMode="External"/><Relationship Id="rId28" Type="http://schemas.openxmlformats.org/officeDocument/2006/relationships/hyperlink" Target="https://eippcb.jrc.ec.europa.eu/sites/default/files/2021-09/ENE_Adopted_02-2009corrected20210914.pdf" TargetMode="External"/><Relationship Id="rId36" Type="http://schemas.openxmlformats.org/officeDocument/2006/relationships/hyperlink" Target="https://treball.gencat.cat/ca/ambits/seguretat_i_salut_laboral/ci_/pla-govern/" TargetMode="External"/><Relationship Id="rId10" Type="http://schemas.openxmlformats.org/officeDocument/2006/relationships/hyperlink" Target="https://www.rainforest-alliance.org/resource-item/2020-sustainable-agriculture-standard-farm-requirements/" TargetMode="External"/><Relationship Id="rId19" Type="http://schemas.openxmlformats.org/officeDocument/2006/relationships/hyperlink" Target="https://residus.gencat.cat/ca/consultes_i_tramits_-_nou/normativa/" TargetMode="External"/><Relationship Id="rId31" Type="http://schemas.openxmlformats.org/officeDocument/2006/relationships/hyperlink" Target="https://www.globalreporting.org/standards/download-the-standards/" TargetMode="External"/><Relationship Id="rId44" Type="http://schemas.openxmlformats.org/officeDocument/2006/relationships/hyperlink" Target="https://mediambient.gencat.cat/ca/05_ambits_dactuacio/empresa_i_produccio_sostenible/economia_verda/catalunya_circular/" TargetMode="External"/><Relationship Id="rId4" Type="http://schemas.openxmlformats.org/officeDocument/2006/relationships/hyperlink" Target="https://www.pimec.org/ca/pimes-autonoms/serveis/medi-ambient-responsabilitat-social-corporativa/codi-etic-conducta" TargetMode="External"/><Relationship Id="rId9" Type="http://schemas.openxmlformats.org/officeDocument/2006/relationships/hyperlink" Target="https://www.rainforest-alliance.org/resource-item/2020-sustainable-agriculture-standard-supply-chain-requirements/" TargetMode="External"/><Relationship Id="rId14" Type="http://schemas.openxmlformats.org/officeDocument/2006/relationships/hyperlink" Target="https://food.ec.europa.eu/horizontal-topics/farm-fork-strategy/sustainable-food-processing_en" TargetMode="External"/><Relationship Id="rId22" Type="http://schemas.openxmlformats.org/officeDocument/2006/relationships/hyperlink" Target="https://environment.ec.europa.eu/topics/circular-economy/eu-ecolabel-home/product-groups-and-criteria_en" TargetMode="External"/><Relationship Id="rId27" Type="http://schemas.openxmlformats.org/officeDocument/2006/relationships/hyperlink" Target="https://eippcb.jrc.ec.europa.eu/sites/default/files/2019-11/JRC107189_IRPP_Bref_2017_published.pdf" TargetMode="External"/><Relationship Id="rId30" Type="http://schemas.openxmlformats.org/officeDocument/2006/relationships/hyperlink" Target="https://www.boe.es/buscar/doc.php?id=BOE-A-2018-17989" TargetMode="External"/><Relationship Id="rId35" Type="http://schemas.openxmlformats.org/officeDocument/2006/relationships/hyperlink" Target="https://agricultura.gencat.cat/ca/detalls/Noticia/Disponible-la-nova-Guia-per-a-la-implantacio-dun-pla-de-prevencio-i-reduccio-de-les-perdues-i-el-malbaratament-alimentari-a-les-empreses-agroalimentaries" TargetMode="External"/><Relationship Id="rId43"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serveis/molins-doli/index.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c2ccertified.org/the-standard" TargetMode="External"/><Relationship Id="rId13" Type="http://schemas.openxmlformats.org/officeDocument/2006/relationships/hyperlink" Target="https://eippcb.jrc.ec.europa.eu/sites/default/files/2021-09/ENE_Adopted_02-2009corrected20210914.pdf" TargetMode="External"/><Relationship Id="rId18" Type="http://schemas.openxmlformats.org/officeDocument/2006/relationships/hyperlink" Target="https://www.boe.es/buscar/doc.php?id=BOE-A-2020-12214" TargetMode="External"/><Relationship Id="rId26" Type="http://schemas.openxmlformats.org/officeDocument/2006/relationships/hyperlink" Target="https://www.pimec.org/ca/pimes-autonoms/serveis/medi-ambient-responsabilitat-social-corporativa/codi-etic-conducta" TargetMode="External"/><Relationship Id="rId3" Type="http://schemas.openxmlformats.org/officeDocument/2006/relationships/hyperlink" Target="https://www.fairtradeamerica.org/app/uploads/2020/08/TextileStandard_EN.pdf" TargetMode="External"/><Relationship Id="rId21" Type="http://schemas.openxmlformats.org/officeDocument/2006/relationships/hyperlink" Target="https://sede.agenciatributaria.gob.es/Sede/impuestos-especiales-medioambientales/impuesto-especial-sobre-envases-plastico-reutilizables.html" TargetMode="External"/><Relationship Id="rId34" Type="http://schemas.openxmlformats.org/officeDocument/2006/relationships/hyperlink" Target="https://ellenmacarthurfoundation.org/es" TargetMode="External"/><Relationship Id="rId7" Type="http://schemas.openxmlformats.org/officeDocument/2006/relationships/hyperlink" Target="https://www.boe.es/buscar/act.php?id=BOE-A-2022-5809" TargetMode="External"/><Relationship Id="rId12" Type="http://schemas.openxmlformats.org/officeDocument/2006/relationships/hyperlink" Target="https://www.iso.org/iso-14001-environmental-management.html" TargetMode="External"/><Relationship Id="rId17" Type="http://schemas.openxmlformats.org/officeDocument/2006/relationships/hyperlink" Target="https://www.iso.org/standard/63026.html" TargetMode="External"/><Relationship Id="rId25" Type="http://schemas.openxmlformats.org/officeDocument/2006/relationships/hyperlink" Target="https://www.pactomundial.org/wp-content/uploads/2021/10/Codigo_conducta_proveedores.pdf" TargetMode="External"/><Relationship Id="rId33" Type="http://schemas.openxmlformats.org/officeDocument/2006/relationships/hyperlink" Target="https://canviclimatic.gencat.cat/ca/oficina/index.html" TargetMode="External"/><Relationship Id="rId2" Type="http://schemas.openxmlformats.org/officeDocument/2006/relationships/hyperlink" Target="https://textileexchange.org/app/uploads/2021/02/Global-Recycled-Standard-v4.0.pdf" TargetMode="External"/><Relationship Id="rId16" Type="http://schemas.openxmlformats.org/officeDocument/2006/relationships/hyperlink" Target="https://www.globalreporting.org/standards/download-the-standards/" TargetMode="External"/><Relationship Id="rId20" Type="http://schemas.openxmlformats.org/officeDocument/2006/relationships/hyperlink" Target="https://eur-lex.europa.eu/ES/legal-content/summary/single-use-plastics-fighting-the-impact-on-the-environment.html" TargetMode="External"/><Relationship Id="rId29" Type="http://schemas.openxmlformats.org/officeDocument/2006/relationships/hyperlink" Target="https://govern.cat/gov/pla-govern?eix=0&amp;ambit=1" TargetMode="External"/><Relationship Id="rId1" Type="http://schemas.openxmlformats.org/officeDocument/2006/relationships/hyperlink" Target="https://eur-lex.europa.eu/legal-content/EN/TXT/PDF/?uri=CELEX:32014D0350&amp;from=EN" TargetMode="External"/><Relationship Id="rId6" Type="http://schemas.openxmlformats.org/officeDocument/2006/relationships/hyperlink" Target="https://sustainablepackaging.org/" TargetMode="External"/><Relationship Id="rId11" Type="http://schemas.openxmlformats.org/officeDocument/2006/relationships/hyperlink" Target="https://www.iso.org/iso-9001-quality-management.html" TargetMode="External"/><Relationship Id="rId24" Type="http://schemas.openxmlformats.org/officeDocument/2006/relationships/hyperlink" Target="https://act.gencat.cat/wp-content/uploads/2019/05/CAT-ACT-POL%C3%8DTICA-DE-PRIVACITAT.pdf" TargetMode="External"/><Relationship Id="rId32" Type="http://schemas.openxmlformats.org/officeDocument/2006/relationships/hyperlink" Target="https://www.aecoc.es/servicios/leangreen-espana/" TargetMode="External"/><Relationship Id="rId37" Type="http://schemas.openxmlformats.org/officeDocument/2006/relationships/printerSettings" Target="../printerSettings/printerSettings4.bin"/><Relationship Id="rId5" Type="http://schemas.openxmlformats.org/officeDocument/2006/relationships/hyperlink" Target="https://www.oeko-tex.com/en/" TargetMode="External"/><Relationship Id="rId15" Type="http://schemas.openxmlformats.org/officeDocument/2006/relationships/hyperlink" Target="https://www.boe.es/buscar/doc.php?id=BOE-A-2018-17989" TargetMode="External"/><Relationship Id="rId23" Type="http://schemas.openxmlformats.org/officeDocument/2006/relationships/hyperlink" Target="https://environment.ec.europa.eu/topics/circular-economy/eu-ecolabel-home/product-groups-and-criteria_en" TargetMode="External"/><Relationship Id="rId28" Type="http://schemas.openxmlformats.org/officeDocument/2006/relationships/hyperlink" Target="https://treball.gencat.cat/ca/ambits/seguretat_i_salut_laboral/ci_/pla-govern/" TargetMode="External"/><Relationship Id="rId36" Type="http://schemas.openxmlformats.org/officeDocument/2006/relationships/hyperlink" Target="https://residus.gencat.cat/ca/consultes_i_tramits_-_nou/normativa/" TargetMode="External"/><Relationship Id="rId10" Type="http://schemas.openxmlformats.org/officeDocument/2006/relationships/hyperlink" Target="https://ghgprotocol.org/" TargetMode="External"/><Relationship Id="rId19" Type="http://schemas.openxmlformats.org/officeDocument/2006/relationships/hyperlink" Target="https://sustainablepackaging.org/" TargetMode="External"/><Relationship Id="rId31" Type="http://schemas.openxmlformats.org/officeDocument/2006/relationships/hyperlink" Target="https://bop.diba.cat/anunci/3386030/conveni-col-lectiu-de-treball-del-sector-del-comerc-textil-de-la-provincia-de-barcelona-per-als-anys-2022-2024-generalitat-de-catalunya-departament-d-empresa-i-treball" TargetMode="External"/><Relationship Id="rId4" Type="http://schemas.openxmlformats.org/officeDocument/2006/relationships/hyperlink" Target="https://global-standard.org/images/resource-library/documents/standard-and-manual/GOTS_7.0_-_signed-25.04.pdf" TargetMode="External"/><Relationship Id="rId9" Type="http://schemas.openxmlformats.org/officeDocument/2006/relationships/hyperlink" Target="https://eippcb.jrc.ec.europa.eu/sites/default/files/2023-01/TXT_BREF_2023_for_publishing%20ISSN%201831-9424_final_1_revised.pdf" TargetMode="External"/><Relationship Id="rId14" Type="http://schemas.openxmlformats.org/officeDocument/2006/relationships/hyperlink" Target="https://finance.ec.europa.eu/capital-markets-union-and-financial-markets/company-reporting-and-auditing/company-reporting/corporate-sustainability-reporting_en" TargetMode="External"/><Relationship Id="rId22" Type="http://schemas.openxmlformats.org/officeDocument/2006/relationships/hyperlink" Target="https://mediambient.gencat.cat/ca/05_ambits_dactuacio/empresa_i_produccio_sostenible/sistemes_de_gestio/sistemes_de_gestio_ambiental_iso_14001_i_emas/emas/index.html" TargetMode="External"/><Relationship Id="rId27" Type="http://schemas.openxmlformats.org/officeDocument/2006/relationships/hyperlink" Target="https://mediambient.gencat.cat/ca/05_ambits_dactuacio/empresa_i_produccio_sostenible/economia_verda/catalunya_circular/moda-circular/index.html" TargetMode="External"/><Relationship Id="rId30" Type="http://schemas.openxmlformats.org/officeDocument/2006/relationships/hyperlink" Target="https://fonseuropeus.gencat.cat/ca/ris3cat/2030/index.html" TargetMode="External"/><Relationship Id="rId35" Type="http://schemas.openxmlformats.org/officeDocument/2006/relationships/hyperlink" Target="https://mediambient.gencat.cat/ca/05_ambits_dactuacio/empresa_i_produccio_sostenible/economia_verda/catalunya_circular/"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eippcb.jrc.ec.europa.eu/sites/default/files/2019-11/PP_revised_BREF_2015.pdf" TargetMode="External"/><Relationship Id="rId13" Type="http://schemas.openxmlformats.org/officeDocument/2006/relationships/hyperlink" Target="https://ellenmacarthurfoundation.org/es" TargetMode="External"/><Relationship Id="rId18" Type="http://schemas.openxmlformats.org/officeDocument/2006/relationships/hyperlink" Target="https://www.globalreporting.org/standards/download-the-standards/" TargetMode="External"/><Relationship Id="rId26" Type="http://schemas.openxmlformats.org/officeDocument/2006/relationships/hyperlink" Target="https://mediambient.gencat.cat/ca/05_ambits_dactuacio/empresa_i_produccio_sostenible/sistemes_de_gestio/sistemes_de_gestio_ambiental_iso_14001_i_emas/emas/index.html" TargetMode="External"/><Relationship Id="rId39" Type="http://schemas.openxmlformats.org/officeDocument/2006/relationships/hyperlink" Target="https://mediambient.gencat.cat/ca/05_ambits_dactuacio/empresa_i_produccio_sostenible/economia_verda/catalunya_circular/" TargetMode="External"/><Relationship Id="rId3" Type="http://schemas.openxmlformats.org/officeDocument/2006/relationships/hyperlink" Target="https://www.pefc.es/" TargetMode="External"/><Relationship Id="rId21" Type="http://schemas.openxmlformats.org/officeDocument/2006/relationships/hyperlink" Target="https://www.boe.es/buscar/act.php?id=BOE-A-2022-5809" TargetMode="External"/><Relationship Id="rId34" Type="http://schemas.openxmlformats.org/officeDocument/2006/relationships/hyperlink" Target="https://agricultura.gencat.cat/ca/ambits/medi-natural/gestio-forestal/eutr-comercialitzacio-fusta/index.html" TargetMode="External"/><Relationship Id="rId7" Type="http://schemas.openxmlformats.org/officeDocument/2006/relationships/hyperlink" Target="https://ghgprotocol.org/" TargetMode="External"/><Relationship Id="rId12" Type="http://schemas.openxmlformats.org/officeDocument/2006/relationships/hyperlink" Target="https://c2ccertified.org/the-standard" TargetMode="External"/><Relationship Id="rId17" Type="http://schemas.openxmlformats.org/officeDocument/2006/relationships/hyperlink" Target="https://www.boe.es/buscar/doc.php?id=BOE-A-2018-17989" TargetMode="External"/><Relationship Id="rId25" Type="http://schemas.openxmlformats.org/officeDocument/2006/relationships/hyperlink" Target="https://www.iso.org/standard/63026.html" TargetMode="External"/><Relationship Id="rId33" Type="http://schemas.openxmlformats.org/officeDocument/2006/relationships/hyperlink" Target="https://govern.cat/gov/pla-govern?eix=0&amp;ambit=1" TargetMode="External"/><Relationship Id="rId38"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productes/cartro_reciclat_050/index.html" TargetMode="External"/><Relationship Id="rId2" Type="http://schemas.openxmlformats.org/officeDocument/2006/relationships/hyperlink" Target="https://fsc.org/en/fsc-standards" TargetMode="External"/><Relationship Id="rId16" Type="http://schemas.openxmlformats.org/officeDocument/2006/relationships/hyperlink" Target="https://finance.ec.europa.eu/capital-markets-union-and-financial-markets/company-reporting-and-auditing/company-reporting/corporate-sustainability-reporting_en" TargetMode="External"/><Relationship Id="rId20" Type="http://schemas.openxmlformats.org/officeDocument/2006/relationships/hyperlink" Target="https://www.boe.es/buscar/doc.php?id=BOE-A-2020-12214" TargetMode="External"/><Relationship Id="rId29" Type="http://schemas.openxmlformats.org/officeDocument/2006/relationships/hyperlink" Target="https://www.pactomundial.org/wp-content/uploads/2021/10/Codigo_conducta_proveedores.pdf" TargetMode="External"/><Relationship Id="rId41" Type="http://schemas.openxmlformats.org/officeDocument/2006/relationships/printerSettings" Target="../printerSettings/printerSettings5.bin"/><Relationship Id="rId1" Type="http://schemas.openxmlformats.org/officeDocument/2006/relationships/hyperlink" Target="https://eur-lex.europa.eu/legal-content/ES/TXT/PDF/?uri=CELEX:32019D0070" TargetMode="External"/><Relationship Id="rId6" Type="http://schemas.openxmlformats.org/officeDocument/2006/relationships/hyperlink" Target="https://environment.ec.europa.eu/system/files/2021-11/COM_2021_706_1_EN_ACT_part1_v6.pdf" TargetMode="External"/><Relationship Id="rId11" Type="http://schemas.openxmlformats.org/officeDocument/2006/relationships/hyperlink" Target="https://sustainablepackaging.org/" TargetMode="External"/><Relationship Id="rId24" Type="http://schemas.openxmlformats.org/officeDocument/2006/relationships/hyperlink" Target="https://sede.agenciatributaria.gob.es/Sede/impuestos-especiales-medioambientales/impuesto-especial-sobre-envases-plastico-reutilizables.html" TargetMode="External"/><Relationship Id="rId32" Type="http://schemas.openxmlformats.org/officeDocument/2006/relationships/hyperlink" Target="https://treball.gencat.cat/ca/ambits/seguretat_i_salut_laboral/ci_/pla-govern/" TargetMode="External"/><Relationship Id="rId37"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aleg/productes/productes-de-fusta/" TargetMode="External"/><Relationship Id="rId40" Type="http://schemas.openxmlformats.org/officeDocument/2006/relationships/hyperlink" Target="https://residus.gencat.cat/ca/consultes_i_tramits_-_nou/normativa/" TargetMode="External"/><Relationship Id="rId5" Type="http://schemas.openxmlformats.org/officeDocument/2006/relationships/hyperlink" Target="https://www.cepi.org/wp-content/uploads/2021/03/Standard-EN-643-new.pdf" TargetMode="External"/><Relationship Id="rId15" Type="http://schemas.openxmlformats.org/officeDocument/2006/relationships/hyperlink" Target="https://www.iso.org/iso-14001-environmental-management.html" TargetMode="External"/><Relationship Id="rId23" Type="http://schemas.openxmlformats.org/officeDocument/2006/relationships/hyperlink" Target="https://eur-lex.europa.eu/ES/legal-content/summary/single-use-plastics-fighting-the-impact-on-the-environment.html" TargetMode="External"/><Relationship Id="rId28" Type="http://schemas.openxmlformats.org/officeDocument/2006/relationships/hyperlink" Target="https://act.gencat.cat/wp-content/uploads/2019/05/CAT-ACT-POL%C3%8DTICA-DE-PRIVACITAT.pdf" TargetMode="External"/><Relationship Id="rId36" Type="http://schemas.openxmlformats.org/officeDocument/2006/relationships/hyperlink" Target="https://canviclimatic.gencat.cat/ca/oficina/index.html" TargetMode="External"/><Relationship Id="rId10" Type="http://schemas.openxmlformats.org/officeDocument/2006/relationships/hyperlink" Target="https://eippcb.jrc.ec.europa.eu/sites/default/files/2023-01/TXT_BREF_2023_for_publishing%20ISSN%201831-9424_final_1_revised.pdf" TargetMode="External"/><Relationship Id="rId19" Type="http://schemas.openxmlformats.org/officeDocument/2006/relationships/hyperlink" Target="https://eippcb.jrc.ec.europa.eu/sites/default/files/2021-09/ENE_Adopted_02-2009corrected20210914.pdf" TargetMode="External"/><Relationship Id="rId31" Type="http://schemas.openxmlformats.org/officeDocument/2006/relationships/hyperlink" Target="https://dogc.gencat.cat/ca/document-del-dogc/?documentId=726464" TargetMode="External"/><Relationship Id="rId4" Type="http://schemas.openxmlformats.org/officeDocument/2006/relationships/hyperlink" Target="https://forests.org/standards/" TargetMode="External"/><Relationship Id="rId9" Type="http://schemas.openxmlformats.org/officeDocument/2006/relationships/hyperlink" Target="https://eippcb.jrc.ec.europa.eu/sites/default/files/2019-11/WBPbref2016_0.pdf" TargetMode="External"/><Relationship Id="rId14" Type="http://schemas.openxmlformats.org/officeDocument/2006/relationships/hyperlink" Target="https://www.iso.org/iso-9001-quality-management.html" TargetMode="External"/><Relationship Id="rId22" Type="http://schemas.openxmlformats.org/officeDocument/2006/relationships/hyperlink" Target="https://sustainablepackaging.org/" TargetMode="External"/><Relationship Id="rId27" Type="http://schemas.openxmlformats.org/officeDocument/2006/relationships/hyperlink" Target="https://environment.ec.europa.eu/topics/circular-economy/eu-ecolabel-home/product-groups-and-criteria_en" TargetMode="External"/><Relationship Id="rId30" Type="http://schemas.openxmlformats.org/officeDocument/2006/relationships/hyperlink" Target="https://www.pimec.org/ca/pimes-autonoms/serveis/medi-ambient-responsabilitat-social-corporativa/codi-etic-conducta" TargetMode="External"/><Relationship Id="rId35" Type="http://schemas.openxmlformats.org/officeDocument/2006/relationships/hyperlink" Target="https://www.aecoc.es/servicios/leangreen-espana/"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iso.org/iso-9001-quality-management.html" TargetMode="External"/><Relationship Id="rId13" Type="http://schemas.openxmlformats.org/officeDocument/2006/relationships/hyperlink" Target="https://www.globalreporting.org/standards/download-the-standards/" TargetMode="External"/><Relationship Id="rId18" Type="http://schemas.openxmlformats.org/officeDocument/2006/relationships/hyperlink" Target="https://environment.ec.europa.eu/topics/circular-economy/eu-ecolabel-home/product-groups-and-criteria_en" TargetMode="External"/><Relationship Id="rId26" Type="http://schemas.openxmlformats.org/officeDocument/2006/relationships/hyperlink" Target="https://canviclimatic.gencat.cat/ca/oficina/index.html" TargetMode="External"/><Relationship Id="rId3" Type="http://schemas.openxmlformats.org/officeDocument/2006/relationships/hyperlink" Target="https://eur-lex.europa.eu/legal-content/ES/TXT/PDF/?uri=CELEX:02002R2150-20101018" TargetMode="External"/><Relationship Id="rId21" Type="http://schemas.openxmlformats.org/officeDocument/2006/relationships/hyperlink" Target="https://eur-lex.europa.eu/legal-content/ES/TXT/?uri=CELEX%3A32021R2139" TargetMode="External"/><Relationship Id="rId7" Type="http://schemas.openxmlformats.org/officeDocument/2006/relationships/hyperlink" Target="https://eippcb.jrc.ec.europa.eu/reference/waste-incineration-0" TargetMode="External"/><Relationship Id="rId12" Type="http://schemas.openxmlformats.org/officeDocument/2006/relationships/hyperlink" Target="https://www.boe.es/buscar/doc.php?id=BOE-A-2018-17989" TargetMode="External"/><Relationship Id="rId17" Type="http://schemas.openxmlformats.org/officeDocument/2006/relationships/hyperlink" Target="https://mediambient.gencat.cat/ca/05_ambits_dactuacio/empresa_i_produccio_sostenible/sistemes_de_gestio/sistemes_de_gestio_ambiental_iso_14001_i_emas/emas/index.html" TargetMode="External"/><Relationship Id="rId25" Type="http://schemas.openxmlformats.org/officeDocument/2006/relationships/hyperlink" Target="https://residus.gencat.cat/ca/consultes_i_tramits_-_nou/normativa/" TargetMode="External"/><Relationship Id="rId2" Type="http://schemas.openxmlformats.org/officeDocument/2006/relationships/hyperlink" Target="https://eur-lex.europa.eu/legal-content/ES/TXT/PDF/?uri=CELEX:32020R0852" TargetMode="External"/><Relationship Id="rId16" Type="http://schemas.openxmlformats.org/officeDocument/2006/relationships/hyperlink" Target="https://www.iso.org/standard/63026.html" TargetMode="External"/><Relationship Id="rId20" Type="http://schemas.openxmlformats.org/officeDocument/2006/relationships/hyperlink" Target="https://eur-lex.europa.eu/legal-content/ES/TXT/?uri=CELEX%3A32021R2139" TargetMode="External"/><Relationship Id="rId1" Type="http://schemas.openxmlformats.org/officeDocument/2006/relationships/hyperlink" Target="https://environment.ec.europa.eu/strategy/circular-economy-action-plan_en" TargetMode="External"/><Relationship Id="rId6" Type="http://schemas.openxmlformats.org/officeDocument/2006/relationships/hyperlink" Target="https://www.aecoc.es/servicios/leangreen-espana/" TargetMode="External"/><Relationship Id="rId11" Type="http://schemas.openxmlformats.org/officeDocument/2006/relationships/hyperlink" Target="https://finance.ec.europa.eu/capital-markets-union-and-financial-markets/company-reporting-and-auditing/company-reporting/corporate-sustainability-reporting_en" TargetMode="External"/><Relationship Id="rId24" Type="http://schemas.openxmlformats.org/officeDocument/2006/relationships/hyperlink" Target="https://residus.gencat.cat/ca/ambits_dactuacio/tipus_de_residu/residus_municipals/" TargetMode="External"/><Relationship Id="rId5" Type="http://schemas.openxmlformats.org/officeDocument/2006/relationships/hyperlink" Target="https://www.boe.es/buscar/act.php?id=BOE-A-2022-5809" TargetMode="External"/><Relationship Id="rId15" Type="http://schemas.openxmlformats.org/officeDocument/2006/relationships/hyperlink" Target="https://www.boe.es/buscar/doc.php?id=BOE-A-2020-12214" TargetMode="External"/><Relationship Id="rId23" Type="http://schemas.openxmlformats.org/officeDocument/2006/relationships/hyperlink" Target="https://govern.cat/gov/pla-govern?eix=0&amp;ambit=1" TargetMode="External"/><Relationship Id="rId28" Type="http://schemas.openxmlformats.org/officeDocument/2006/relationships/printerSettings" Target="../printerSettings/printerSettings6.bin"/><Relationship Id="rId10" Type="http://schemas.openxmlformats.org/officeDocument/2006/relationships/hyperlink" Target="https://www.iso.org/iso-14001-environmental-management.html" TargetMode="External"/><Relationship Id="rId19" Type="http://schemas.openxmlformats.org/officeDocument/2006/relationships/hyperlink" Target="https://www.pimec.org/ca/pimes-autonoms/serveis/medi-ambient-responsabilitat-social-corporativa/codi-etic-conducta" TargetMode="External"/><Relationship Id="rId4" Type="http://schemas.openxmlformats.org/officeDocument/2006/relationships/hyperlink" Target="https://eur-lex.europa.eu/legal-content/ES/TXT/PDF/?uri=CELEX:32020R0852" TargetMode="External"/><Relationship Id="rId9" Type="http://schemas.openxmlformats.org/officeDocument/2006/relationships/hyperlink" Target="https://ghgprotocol.org/" TargetMode="External"/><Relationship Id="rId14" Type="http://schemas.openxmlformats.org/officeDocument/2006/relationships/hyperlink" Target="https://eippcb.jrc.ec.europa.eu/sites/default/files/2021-09/ENE_Adopted_02-2009corrected20210914.pdf" TargetMode="External"/><Relationship Id="rId22" Type="http://schemas.openxmlformats.org/officeDocument/2006/relationships/hyperlink" Target="https://treball.gencat.cat/ca/ambits/seguretat_i_salut_laboral/ci_/pla-govern/" TargetMode="External"/><Relationship Id="rId27" Type="http://schemas.openxmlformats.org/officeDocument/2006/relationships/hyperlink" Target="https://mediambient.gencat.cat/ca/05_ambits_dactuacio/empresa_i_produccio_sostenible/economia_verda/catalunya_circular/"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environment.ec.europa.eu/topics/circular-economy/eu-ecolabel-home/product-groups-and-criteria_en" TargetMode="External"/><Relationship Id="rId13" Type="http://schemas.openxmlformats.org/officeDocument/2006/relationships/hyperlink" Target="https://www.boe.es/buscar/doc.php?id=BOE-A-2018-17989" TargetMode="External"/><Relationship Id="rId18" Type="http://schemas.openxmlformats.org/officeDocument/2006/relationships/hyperlink" Target="https://mediambient.gencat.cat/ca/05_ambits_dactuacio/empresa_i_produccio_sostenible/sistemes_de_gestio/sistemes_de_gestio_ambiental_iso_14001_i_emas/emas/index.html" TargetMode="External"/><Relationship Id="rId26" Type="http://schemas.openxmlformats.org/officeDocument/2006/relationships/hyperlink" Target="https://dogc.gencat.cat/ca/document-del-dogc/?documentId=818637" TargetMode="External"/><Relationship Id="rId39" Type="http://schemas.openxmlformats.org/officeDocument/2006/relationships/hyperlink" Target="https://canviclimatic.gencat.cat/ca/oficina/index.html" TargetMode="External"/><Relationship Id="rId3" Type="http://schemas.openxmlformats.org/officeDocument/2006/relationships/hyperlink" Target="https://ellenmacarthurfoundation.org/es" TargetMode="External"/><Relationship Id="rId21" Type="http://schemas.openxmlformats.org/officeDocument/2006/relationships/hyperlink" Target="https://eur-lex.europa.eu/legal-content/ES/TXT/PDF/?uri=CELEX:32020R0852" TargetMode="External"/><Relationship Id="rId34" Type="http://schemas.openxmlformats.org/officeDocument/2006/relationships/hyperlink" Target="https://cido.diba.cat/convenis_collectius/9370/sector-de-la-construccio-i-obres-publiques-de-la-provincia-de-barcelona" TargetMode="External"/><Relationship Id="rId42" Type="http://schemas.openxmlformats.org/officeDocument/2006/relationships/hyperlink" Target="https://residus.gencat.cat/ca/ambits_dactuacio/tipus_de_residu/runes_i_altres_residus_de_la_construccio/" TargetMode="External"/><Relationship Id="rId7" Type="http://schemas.openxmlformats.org/officeDocument/2006/relationships/hyperlink" Target="https://gbce.es/" TargetMode="External"/><Relationship Id="rId12" Type="http://schemas.openxmlformats.org/officeDocument/2006/relationships/hyperlink" Target="https://finance.ec.europa.eu/capital-markets-union-and-financial-markets/company-reporting-and-auditing/company-reporting/corporate-sustainability-reporting_en" TargetMode="External"/><Relationship Id="rId17" Type="http://schemas.openxmlformats.org/officeDocument/2006/relationships/hyperlink" Target="https://www.boe.es/buscar/act.php?id=BOE-A-2022-5809" TargetMode="External"/><Relationship Id="rId25"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productes/arid_reciclat_220/" TargetMode="External"/><Relationship Id="rId33" Type="http://schemas.openxmlformats.org/officeDocument/2006/relationships/hyperlink" Target="http://infonorma.gencat.cat/marc_pro.html" TargetMode="External"/><Relationship Id="rId38" Type="http://schemas.openxmlformats.org/officeDocument/2006/relationships/hyperlink" Target="https://ghgprotocol.org/" TargetMode="External"/><Relationship Id="rId2" Type="http://schemas.openxmlformats.org/officeDocument/2006/relationships/hyperlink" Target="https://environment.ec.europa.eu/strategy/circular-economy-action-plan_en" TargetMode="External"/><Relationship Id="rId16" Type="http://schemas.openxmlformats.org/officeDocument/2006/relationships/hyperlink" Target="https://www.boe.es/buscar/doc.php?id=BOE-A-2020-12214" TargetMode="External"/><Relationship Id="rId20" Type="http://schemas.openxmlformats.org/officeDocument/2006/relationships/hyperlink" Target="https://eur-lex.europa.eu/legal-content/ES/TXT/PDF/?uri=CELEX:32020R0852" TargetMode="External"/><Relationship Id="rId29" Type="http://schemas.openxmlformats.org/officeDocument/2006/relationships/hyperlink" Target="https://eur-lex.europa.eu/legal-content/ES/TXT/?uri=CELEX%3A32021R2139" TargetMode="External"/><Relationship Id="rId41" Type="http://schemas.openxmlformats.org/officeDocument/2006/relationships/hyperlink" Target="https://residus.gencat.cat/ca/consultes_i_tramits_-_nou/normativa/" TargetMode="External"/><Relationship Id="rId1" Type="http://schemas.openxmlformats.org/officeDocument/2006/relationships/hyperlink" Target="https://c2ccertified.org/the-standard" TargetMode="External"/><Relationship Id="rId6" Type="http://schemas.openxmlformats.org/officeDocument/2006/relationships/hyperlink" Target="https://www.usgbc.org/leed" TargetMode="External"/><Relationship Id="rId11" Type="http://schemas.openxmlformats.org/officeDocument/2006/relationships/hyperlink" Target="https://www.iso.org/iso-14001-environmental-management.html" TargetMode="External"/><Relationship Id="rId24" Type="http://schemas.openxmlformats.org/officeDocument/2006/relationships/hyperlink" Target="https://www.pimec.org/ca/pimes-autonoms/serveis/medi-ambient-responsabilitat-social-corporativa/codi-etic-conducta" TargetMode="External"/><Relationship Id="rId32" Type="http://schemas.openxmlformats.org/officeDocument/2006/relationships/hyperlink" Target="https://treball.gencat.cat/web/.content/09_-_seguretat_i_salut_laboral/publicacions/imatges/CODI-BONES-PRACTIQUES-PROMOCIO-EXECUCIO-OBRES-CONSTRUCCIO.pdf" TargetMode="External"/><Relationship Id="rId37" Type="http://schemas.openxmlformats.org/officeDocument/2006/relationships/hyperlink" Target="https://habitatge.gencat.cat/ca/ambits/control_qualitat_de_ledificacio/" TargetMode="External"/><Relationship Id="rId40" Type="http://schemas.openxmlformats.org/officeDocument/2006/relationships/hyperlink" Target="https://mediambient.gencat.cat/ca/05_ambits_dactuacio/empresa_i_produccio_sostenible/economia_verda/catalunya_circular/" TargetMode="External"/><Relationship Id="rId5" Type="http://schemas.openxmlformats.org/officeDocument/2006/relationships/hyperlink" Target="https://breeam.es/manuales-tecnicos/" TargetMode="External"/><Relationship Id="rId15" Type="http://schemas.openxmlformats.org/officeDocument/2006/relationships/hyperlink" Target="https://eippcb.jrc.ec.europa.eu/sites/default/files/2021-09/ENE_Adopted_02-2009corrected20210914.pdf" TargetMode="External"/><Relationship Id="rId23" Type="http://schemas.openxmlformats.org/officeDocument/2006/relationships/hyperlink" Target="https://www.pactomundial.org/wp-content/uploads/2021/10/Codigo_conducta_proveedores.pdf" TargetMode="External"/><Relationship Id="rId28" Type="http://schemas.openxmlformats.org/officeDocument/2006/relationships/hyperlink" Target="https://eur-lex.europa.eu/legal-content/ES/TXT/?uri=CELEX%3A32021R2139" TargetMode="External"/><Relationship Id="rId36" Type="http://schemas.openxmlformats.org/officeDocument/2006/relationships/hyperlink" Target="https://infraestructures.gencat.cat/?page=index" TargetMode="External"/><Relationship Id="rId10" Type="http://schemas.openxmlformats.org/officeDocument/2006/relationships/hyperlink" Target="https://www.iso.org/iso-9001-quality-management.html" TargetMode="External"/><Relationship Id="rId19" Type="http://schemas.openxmlformats.org/officeDocument/2006/relationships/hyperlink" Target="https://act.gencat.cat/wp-content/uploads/2019/05/CAT-ACT-POL%C3%8DTICA-DE-PRIVACITAT.pdf" TargetMode="External"/><Relationship Id="rId31" Type="http://schemas.openxmlformats.org/officeDocument/2006/relationships/hyperlink" Target="https://govern.cat/gov/pla-govern?eix=0&amp;ambit=1" TargetMode="External"/><Relationship Id="rId4" Type="http://schemas.openxmlformats.org/officeDocument/2006/relationships/hyperlink" Target="https://icaen.gencat.cat/ca/energia/renovables/" TargetMode="External"/><Relationship Id="rId9" Type="http://schemas.openxmlformats.org/officeDocument/2006/relationships/hyperlink" Target="https://www.iso.org/standard/63026.html" TargetMode="External"/><Relationship Id="rId14" Type="http://schemas.openxmlformats.org/officeDocument/2006/relationships/hyperlink" Target="https://www.globalreporting.org/standards/download-the-standards/" TargetMode="External"/><Relationship Id="rId22" Type="http://schemas.openxmlformats.org/officeDocument/2006/relationships/hyperlink" Target="https://eur-lex.europa.eu/legal-content/ES/TXT/PDF/?uri=CELEX:32020R0852" TargetMode="External"/><Relationship Id="rId27" Type="http://schemas.openxmlformats.org/officeDocument/2006/relationships/hyperlink" Target="https://eur-lex.europa.eu/legal-content/ES/TXT/?uri=CELEX%3A32021R2139" TargetMode="External"/><Relationship Id="rId30" Type="http://schemas.openxmlformats.org/officeDocument/2006/relationships/hyperlink" Target="https://treball.gencat.cat/ca/ambits/seguretat_i_salut_laboral/ci_/pla-govern/" TargetMode="External"/><Relationship Id="rId35" Type="http://schemas.openxmlformats.org/officeDocument/2006/relationships/hyperlink" Target="https://icaen.gencat.cat/ca/plans_programes/ecree/" TargetMode="External"/><Relationship Id="rId43"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8" Type="http://schemas.openxmlformats.org/officeDocument/2006/relationships/hyperlink" Target="https://eippcb.jrc.ec.europa.eu/sites/default/files/2021-09/ENE_Adopted_02-2009corrected20210914.pdf" TargetMode="External"/><Relationship Id="rId13" Type="http://schemas.openxmlformats.org/officeDocument/2006/relationships/hyperlink" Target="https://www.usgbc.org/leed" TargetMode="External"/><Relationship Id="rId18" Type="http://schemas.openxmlformats.org/officeDocument/2006/relationships/hyperlink" Target="https://mediambient.gencat.cat/ca/05_ambits_dactuacio/empresa_i_produccio_sostenible/sistemes_de_gestio/sistemes_de_gestio_ambiental_iso_14001_i_emas/emas/index.html" TargetMode="External"/><Relationship Id="rId26"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productes/sistemes_estalvi_aigua_040/" TargetMode="External"/><Relationship Id="rId39" Type="http://schemas.openxmlformats.org/officeDocument/2006/relationships/hyperlink" Target="https://canviclimatic.gencat.cat/ca/oficina/index.html" TargetMode="External"/><Relationship Id="rId3" Type="http://schemas.openxmlformats.org/officeDocument/2006/relationships/hyperlink" Target="https://www.iso.org/iso-9001-quality-management.html" TargetMode="External"/><Relationship Id="rId21" Type="http://schemas.openxmlformats.org/officeDocument/2006/relationships/hyperlink" Target="https://eur-lex.europa.eu/legal-content/ES/TXT/PDF/?uri=CELEX:32020R0852" TargetMode="External"/><Relationship Id="rId34" Type="http://schemas.openxmlformats.org/officeDocument/2006/relationships/hyperlink" Target="https://apdcat.gencat.cat/ca/drets_i_obligacions/rgpd" TargetMode="External"/><Relationship Id="rId42"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productes/productes_de_suro_060/index.html" TargetMode="External"/><Relationship Id="rId47" Type="http://schemas.openxmlformats.org/officeDocument/2006/relationships/printerSettings" Target="../printerSettings/printerSettings8.bin"/><Relationship Id="rId7" Type="http://schemas.openxmlformats.org/officeDocument/2006/relationships/hyperlink" Target="https://www.globalreporting.org/standards/download-the-standards/" TargetMode="External"/><Relationship Id="rId12" Type="http://schemas.openxmlformats.org/officeDocument/2006/relationships/hyperlink" Target="https://breeam.es/manuales-tecnicos/" TargetMode="External"/><Relationship Id="rId17" Type="http://schemas.openxmlformats.org/officeDocument/2006/relationships/hyperlink" Target="https://ellenmacarthurfoundation.org/es" TargetMode="External"/><Relationship Id="rId25" Type="http://schemas.openxmlformats.org/officeDocument/2006/relationships/hyperlink" Target="https://www.pimec.org/ca/pimes-autonoms/serveis/medi-ambient-responsabilitat-social-corporativa/codi-etic-conducta" TargetMode="External"/><Relationship Id="rId33" Type="http://schemas.openxmlformats.org/officeDocument/2006/relationships/hyperlink" Target="https://serveiocupacio.gencat.cat/ca/soc/qui-som-que-fem/fons-social-europeu/programes-operatius-2021-2027/Programa-FSE-Catalunya-2021-2027/index.html" TargetMode="External"/><Relationship Id="rId38" Type="http://schemas.openxmlformats.org/officeDocument/2006/relationships/hyperlink" Target="https://ghgprotocol.org/" TargetMode="External"/><Relationship Id="rId46" Type="http://schemas.openxmlformats.org/officeDocument/2006/relationships/hyperlink" Target="https://fonseuropeus.gencat.cat/ca/ris3cat/2030/index.html" TargetMode="External"/><Relationship Id="rId2" Type="http://schemas.openxmlformats.org/officeDocument/2006/relationships/hyperlink" Target="https://www.apd.es/importancia-del-capital-humano-en-una-empresa/" TargetMode="External"/><Relationship Id="rId16" Type="http://schemas.openxmlformats.org/officeDocument/2006/relationships/hyperlink" Target="https://environment.ec.europa.eu/strategy/circular-economy-action-plan_en" TargetMode="External"/><Relationship Id="rId20" Type="http://schemas.openxmlformats.org/officeDocument/2006/relationships/hyperlink" Target="https://act.gencat.cat/wp-content/uploads/2019/05/CAT-ACT-POL%C3%8DTICA-DE-PRIVACITAT.pdf" TargetMode="External"/><Relationship Id="rId29" Type="http://schemas.openxmlformats.org/officeDocument/2006/relationships/hyperlink" Target="https://eur-lex.europa.eu/legal-content/ES/TXT/?uri=CELEX%3A32021R2139" TargetMode="External"/><Relationship Id="rId41"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aleg/productes/productes-aillants-acustics-i-termics-amb-material-reciclat/index.html" TargetMode="External"/><Relationship Id="rId1" Type="http://schemas.openxmlformats.org/officeDocument/2006/relationships/hyperlink" Target="https://icaen.gencat.cat/ca/energia/renovables/" TargetMode="External"/><Relationship Id="rId6" Type="http://schemas.openxmlformats.org/officeDocument/2006/relationships/hyperlink" Target="https://www.boe.es/buscar/doc.php?id=BOE-A-2018-17989" TargetMode="External"/><Relationship Id="rId11" Type="http://schemas.openxmlformats.org/officeDocument/2006/relationships/hyperlink" Target="https://www.iso.org/standard/63026.html" TargetMode="External"/><Relationship Id="rId24" Type="http://schemas.openxmlformats.org/officeDocument/2006/relationships/hyperlink" Target="https://www.pactomundial.org/wp-content/uploads/2021/10/Codigo_conducta_proveedores.pdf" TargetMode="External"/><Relationship Id="rId32" Type="http://schemas.openxmlformats.org/officeDocument/2006/relationships/hyperlink" Target="https://dogc.gencat.cat/ca/document-del-dogc/?documentId=966011" TargetMode="External"/><Relationship Id="rId37" Type="http://schemas.openxmlformats.org/officeDocument/2006/relationships/hyperlink" Target="https://portaljuridic.gencat.cat/ca/document-del-pjur/?documentId=792545" TargetMode="External"/><Relationship Id="rId40"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productes/sistemes_estalvi_aigua_040/" TargetMode="External"/><Relationship Id="rId45" Type="http://schemas.openxmlformats.org/officeDocument/2006/relationships/hyperlink" Target="https://residus.gencat.cat/ca/consultes_i_tramits_-_nou/normativa/" TargetMode="External"/><Relationship Id="rId5" Type="http://schemas.openxmlformats.org/officeDocument/2006/relationships/hyperlink" Target="https://finance.ec.europa.eu/capital-markets-union-and-financial-markets/company-reporting-and-auditing/company-reporting/corporate-sustainability-reporting_en" TargetMode="External"/><Relationship Id="rId15" Type="http://schemas.openxmlformats.org/officeDocument/2006/relationships/hyperlink" Target="https://c2ccertified.org/the-standard" TargetMode="External"/><Relationship Id="rId23" Type="http://schemas.openxmlformats.org/officeDocument/2006/relationships/hyperlink" Target="https://eur-lex.europa.eu/legal-content/ES/TXT/PDF/?uri=CELEX:32020R0852" TargetMode="External"/><Relationship Id="rId28" Type="http://schemas.openxmlformats.org/officeDocument/2006/relationships/hyperlink" Target="https://eur-lex.europa.eu/legal-content/ES/TXT/?uri=CELEX%3A32021R2139" TargetMode="External"/><Relationship Id="rId36" Type="http://schemas.openxmlformats.org/officeDocument/2006/relationships/hyperlink" Target="https://canalempresa.gencat.cat/ca/01_que_voleu_fer/mesuresempresesiautonoms/mesures-economiques-i-socials-per-a-empreses-i-autonoms/ajuts-i-prestacions-per-empreses-i-autonoms/digitalitzacio-i-teletreball-per-a-pimes-i-autonoms/index.html" TargetMode="External"/><Relationship Id="rId10" Type="http://schemas.openxmlformats.org/officeDocument/2006/relationships/hyperlink" Target="https://www.boe.es/buscar/act.php?id=BOE-A-2022-5809" TargetMode="External"/><Relationship Id="rId19" Type="http://schemas.openxmlformats.org/officeDocument/2006/relationships/hyperlink" Target="https://environment.ec.europa.eu/topics/circular-economy/eu-ecolabel-home/product-groups-and-criteria_en" TargetMode="External"/><Relationship Id="rId31" Type="http://schemas.openxmlformats.org/officeDocument/2006/relationships/hyperlink" Target="https://cido.diba.cat/legislacio/12275944/acord-gov1452021-de-21-de-setembre-pel-qual-saprova-la-politica-de-ciberseguretat-de-la-generalitat-de-catalunya-departament-de-la-vicepresidencia-i-de-politiques-digitals-i-territori" TargetMode="External"/><Relationship Id="rId44" Type="http://schemas.openxmlformats.org/officeDocument/2006/relationships/hyperlink" Target="https://mediambient.gencat.cat/ca/05_ambits_dactuacio/empresa_i_produccio_sostenible/economia_verda/catalunya_circular/" TargetMode="External"/><Relationship Id="rId4" Type="http://schemas.openxmlformats.org/officeDocument/2006/relationships/hyperlink" Target="https://www.iso.org/iso-14001-environmental-management.html" TargetMode="External"/><Relationship Id="rId9" Type="http://schemas.openxmlformats.org/officeDocument/2006/relationships/hyperlink" Target="https://www.boe.es/buscar/doc.php?id=BOE-A-2020-12214" TargetMode="External"/><Relationship Id="rId14" Type="http://schemas.openxmlformats.org/officeDocument/2006/relationships/hyperlink" Target="https://gbce.es/" TargetMode="External"/><Relationship Id="rId22" Type="http://schemas.openxmlformats.org/officeDocument/2006/relationships/hyperlink" Target="https://eur-lex.europa.eu/legal-content/ES/TXT/PDF/?uri=CELEX:32020R0852" TargetMode="External"/><Relationship Id="rId27" Type="http://schemas.openxmlformats.org/officeDocument/2006/relationships/hyperlink" Target="https://eur-lex.europa.eu/legal-content/ES/TXT/?uri=CELEX%3A32021R2139" TargetMode="External"/><Relationship Id="rId30" Type="http://schemas.openxmlformats.org/officeDocument/2006/relationships/hyperlink" Target="https://treball.gencat.cat/ca/ambits/seguretat_i_salut_laboral/ci_/pla-govern/" TargetMode="External"/><Relationship Id="rId35" Type="http://schemas.openxmlformats.org/officeDocument/2006/relationships/hyperlink" Target="https://govern.cat/gov/pla-govern?eix=0&amp;ambit=1" TargetMode="External"/><Relationship Id="rId43"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productes/plastic_reciclat_010/index.htm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nfac.com/actualidad/notas-de-matriculacion/el-mercado-de-vehiculos-electrificados-crece-un-68-en-junio-hasta-las-13-000-unidades/" TargetMode="External"/><Relationship Id="rId13" Type="http://schemas.openxmlformats.org/officeDocument/2006/relationships/hyperlink" Target="https://www.globalreporting.org/standards/download-the-standards/" TargetMode="External"/><Relationship Id="rId18" Type="http://schemas.openxmlformats.org/officeDocument/2006/relationships/hyperlink" Target="https://environment.ec.europa.eu/strategy/circular-economy-action-plan_en" TargetMode="External"/><Relationship Id="rId26" Type="http://schemas.openxmlformats.org/officeDocument/2006/relationships/hyperlink" Target="https://govern.cat/gov/pla-govern?eix=0&amp;ambit=1" TargetMode="External"/><Relationship Id="rId3" Type="http://schemas.openxmlformats.org/officeDocument/2006/relationships/hyperlink" Target="https://residus.gencat.cat/es/inici/" TargetMode="External"/><Relationship Id="rId21" Type="http://schemas.openxmlformats.org/officeDocument/2006/relationships/hyperlink" Target="https://act.gencat.cat/wp-content/uploads/2019/05/CAT-ACT-POL%C3%8DTICA-DE-PRIVACITAT.pdf" TargetMode="External"/><Relationship Id="rId7" Type="http://schemas.openxmlformats.org/officeDocument/2006/relationships/hyperlink" Target="https://commission.europa.eu/law/law-topic/data-protection_es" TargetMode="External"/><Relationship Id="rId12" Type="http://schemas.openxmlformats.org/officeDocument/2006/relationships/hyperlink" Target="https://www.boe.es/buscar/doc.php?id=BOE-A-2018-17989" TargetMode="External"/><Relationship Id="rId17" Type="http://schemas.openxmlformats.org/officeDocument/2006/relationships/hyperlink" Target="https://ellenmacarthurfoundation.org/es" TargetMode="External"/><Relationship Id="rId25" Type="http://schemas.openxmlformats.org/officeDocument/2006/relationships/hyperlink" Target="https://treball.gencat.cat/ca/ambits/seguretat_i_salut_laboral/ci_/pla-govern/" TargetMode="External"/><Relationship Id="rId33" Type="http://schemas.openxmlformats.org/officeDocument/2006/relationships/printerSettings" Target="../printerSettings/printerSettings9.bin"/><Relationship Id="rId2" Type="http://schemas.openxmlformats.org/officeDocument/2006/relationships/hyperlink" Target="https://www.fullsdenginyeria.cat/els-reptes-de-tota-la-cadena-de-valor-de-lautomocio" TargetMode="External"/><Relationship Id="rId16" Type="http://schemas.openxmlformats.org/officeDocument/2006/relationships/hyperlink" Target="https://www.boe.es/buscar/act.php?id=BOE-A-2022-5809" TargetMode="External"/><Relationship Id="rId20" Type="http://schemas.openxmlformats.org/officeDocument/2006/relationships/hyperlink" Target="https://mediambient.gencat.cat/ca/05_ambits_dactuacio/empresa_i_produccio_sostenible/sistemes_de_gestio/sistemes_de_gestio_ambiental_iso_14001_i_emas/emas/index.html" TargetMode="External"/><Relationship Id="rId29" Type="http://schemas.openxmlformats.org/officeDocument/2006/relationships/hyperlink" Target="https://www.aecoc.es/servicios/leangreen-espana/" TargetMode="External"/><Relationship Id="rId1" Type="http://schemas.openxmlformats.org/officeDocument/2006/relationships/hyperlink" Target="https://www.accio.gencat.cat/ca/serveis/cercador-ajuts-empresa/ajutsiserveis/21692_next_generation_eu_icaen_MOVESIII" TargetMode="External"/><Relationship Id="rId6" Type="http://schemas.openxmlformats.org/officeDocument/2006/relationships/hyperlink" Target="https://wedocs.unep.org/bitstream/handle/20.500.11822/28246/7789GWPRef_SP.pdf?sequence=1&amp;isAllowed=y" TargetMode="External"/><Relationship Id="rId11" Type="http://schemas.openxmlformats.org/officeDocument/2006/relationships/hyperlink" Target="https://finance.ec.europa.eu/capital-markets-union-and-financial-markets/company-reporting-and-auditing/company-reporting/corporate-sustainability-reporting_en" TargetMode="External"/><Relationship Id="rId24"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vehicles/" TargetMode="External"/><Relationship Id="rId32" Type="http://schemas.openxmlformats.org/officeDocument/2006/relationships/hyperlink" Target="https://residus.gencat.cat/ca/consultes_i_tramits_-_nou/normativa/" TargetMode="External"/><Relationship Id="rId5" Type="http://schemas.openxmlformats.org/officeDocument/2006/relationships/hyperlink" Target="https://www.un.org/es/climatechange/raising-ambition/renewable-energy" TargetMode="External"/><Relationship Id="rId15" Type="http://schemas.openxmlformats.org/officeDocument/2006/relationships/hyperlink" Target="https://www.boe.es/buscar/doc.php?id=BOE-A-2020-12214" TargetMode="External"/><Relationship Id="rId23" Type="http://schemas.openxmlformats.org/officeDocument/2006/relationships/hyperlink" Target="https://www.pimec.org/ca/pimes-autonoms/serveis/medi-ambient-responsabilitat-social-corporativa/codi-etic-conducta" TargetMode="External"/><Relationship Id="rId28" Type="http://schemas.openxmlformats.org/officeDocument/2006/relationships/hyperlink" Target="https://empresa.gencat.cat/ca/treb_ambits_actuacio/seguretat-industrial/agents-seguretat/tallers-reparacio-vehicles/vies-acces/" TargetMode="External"/><Relationship Id="rId10" Type="http://schemas.openxmlformats.org/officeDocument/2006/relationships/hyperlink" Target="https://www.iso.org/iso-14001-environmental-management.html" TargetMode="External"/><Relationship Id="rId19" Type="http://schemas.openxmlformats.org/officeDocument/2006/relationships/hyperlink" Target="https://c2ccertified.org/the-standard" TargetMode="External"/><Relationship Id="rId31" Type="http://schemas.openxmlformats.org/officeDocument/2006/relationships/hyperlink" Target="https://mediambient.gencat.cat/ca/05_ambits_dactuacio/empresa_i_produccio_sostenible/economia_verda/catalunya_circular/" TargetMode="External"/><Relationship Id="rId4" Type="http://schemas.openxmlformats.org/officeDocument/2006/relationships/hyperlink" Target="https://www.pactomundial.org/wp-content/uploads/2021/10/Codigo_conducta_proveedores.pdf" TargetMode="External"/><Relationship Id="rId9" Type="http://schemas.openxmlformats.org/officeDocument/2006/relationships/hyperlink" Target="https://www.iso.org/iso-9001-quality-management.html" TargetMode="External"/><Relationship Id="rId14" Type="http://schemas.openxmlformats.org/officeDocument/2006/relationships/hyperlink" Target="https://ghgprotocol.org/" TargetMode="External"/><Relationship Id="rId22" Type="http://schemas.openxmlformats.org/officeDocument/2006/relationships/hyperlink" Target="https://dogc.gencat.cat/ca/document-del-dogc/?documentId=919590" TargetMode="External"/><Relationship Id="rId27" Type="http://schemas.openxmlformats.org/officeDocument/2006/relationships/hyperlink" Target="https://empresa.gencat.cat/ca/treb_ambits_actuacio/seguretat-industrial/itv-automobil/seguretat-de-lautomobil/index.html" TargetMode="External"/><Relationship Id="rId30" Type="http://schemas.openxmlformats.org/officeDocument/2006/relationships/hyperlink" Target="https://canviclimatic.gencat.cat/ca/oficina/index.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ghgprotocol.org/" TargetMode="External"/><Relationship Id="rId13" Type="http://schemas.openxmlformats.org/officeDocument/2006/relationships/hyperlink" Target="https://wedocs.unep.org/bitstream/handle/20.500.11822/28246/7789GWPRef_SP.pdf?sequence=1&amp;isAllowed=y" TargetMode="External"/><Relationship Id="rId18" Type="http://schemas.openxmlformats.org/officeDocument/2006/relationships/hyperlink" Target="https://sustainablepackaging.org/" TargetMode="External"/><Relationship Id="rId26" Type="http://schemas.openxmlformats.org/officeDocument/2006/relationships/hyperlink" Target="https://environment.ec.europa.eu/topics/circular-economy/eu-ecolabel-home/product-groups-and-criteria_en" TargetMode="External"/><Relationship Id="rId39"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aleg/productes/productes-de-material-compostable/" TargetMode="External"/><Relationship Id="rId3" Type="http://schemas.openxmlformats.org/officeDocument/2006/relationships/hyperlink" Target="https://www.iso.org/iso-9001-quality-management.html" TargetMode="External"/><Relationship Id="rId21" Type="http://schemas.openxmlformats.org/officeDocument/2006/relationships/hyperlink" Target="https://commission.europa.eu/law/law-topic/data-protection_es" TargetMode="External"/><Relationship Id="rId34" Type="http://schemas.openxmlformats.org/officeDocument/2006/relationships/hyperlink" Target="https://govern.cat/gov/pla-govern?eix=0&amp;ambit=1" TargetMode="External"/><Relationship Id="rId42" Type="http://schemas.openxmlformats.org/officeDocument/2006/relationships/printerSettings" Target="../printerSettings/printerSettings10.bin"/><Relationship Id="rId7" Type="http://schemas.openxmlformats.org/officeDocument/2006/relationships/hyperlink" Target="https://www.globalreporting.org/standards/download-the-standards/" TargetMode="External"/><Relationship Id="rId12" Type="http://schemas.openxmlformats.org/officeDocument/2006/relationships/hyperlink" Target="https://www.un.org/es/climatechange/raising-ambition/renewable-energy" TargetMode="External"/><Relationship Id="rId17" Type="http://schemas.openxmlformats.org/officeDocument/2006/relationships/hyperlink" Target="https://eur-lex.europa.eu/ES/legal-content/summary/single-use-plastics-fighting-the-impact-on-the-environment.html" TargetMode="External"/><Relationship Id="rId25" Type="http://schemas.openxmlformats.org/officeDocument/2006/relationships/hyperlink" Target="https://mediambient.gencat.cat/ca/05_ambits_dactuacio/empresa_i_produccio_sostenible/sistemes_de_gestio/sistemes_de_gestio_ambiental_iso_14001_i_emas/emas/index.html" TargetMode="External"/><Relationship Id="rId33" Type="http://schemas.openxmlformats.org/officeDocument/2006/relationships/hyperlink" Target="https://apdcat.gencat.cat/ca/drets_i_obligacions/rgpd" TargetMode="External"/><Relationship Id="rId38" Type="http://schemas.openxmlformats.org/officeDocument/2006/relationships/hyperlink" Target="https://canviclimatic.gencat.cat/ca/oficina/index.html" TargetMode="External"/><Relationship Id="rId2" Type="http://schemas.openxmlformats.org/officeDocument/2006/relationships/hyperlink" Target="https://www.obsbusiness.school/blog/que-es-el-ecodiseno-y-por-que-deberiamos-aplicarlo" TargetMode="External"/><Relationship Id="rId16" Type="http://schemas.openxmlformats.org/officeDocument/2006/relationships/hyperlink" Target="https://sede.agenciatributaria.gob.es/Sede/impuestos-especiales-medioambientales/impuesto-especial-sobre-envases-plastico-reutilizables.html" TargetMode="External"/><Relationship Id="rId20" Type="http://schemas.openxmlformats.org/officeDocument/2006/relationships/hyperlink" Target="https://cido.diba.cat/convenis_collectius/9604/comerc-de-catalunya-per-a-subsectors-i-empreses-sense-conveni-propi" TargetMode="External"/><Relationship Id="rId29" Type="http://schemas.openxmlformats.org/officeDocument/2006/relationships/hyperlink" Target="https://www.pactomundial.org/wp-content/uploads/2021/10/Codigo_conducta_proveedores.pdf" TargetMode="External"/><Relationship Id="rId41" Type="http://schemas.openxmlformats.org/officeDocument/2006/relationships/hyperlink" Target="https://mediambient.gencat.cat/ca/05_ambits_dactuacio/empresa_i_produccio_sostenible/economia_verda/catalunya_circular/" TargetMode="External"/><Relationship Id="rId1" Type="http://schemas.openxmlformats.org/officeDocument/2006/relationships/hyperlink" Target="https://www.eurofins-environment.es/es/analisis-de-ciclo-de-vida-que-es/" TargetMode="External"/><Relationship Id="rId6" Type="http://schemas.openxmlformats.org/officeDocument/2006/relationships/hyperlink" Target="https://www.boe.es/buscar/doc.php?id=BOE-A-2018-17989" TargetMode="External"/><Relationship Id="rId11" Type="http://schemas.openxmlformats.org/officeDocument/2006/relationships/hyperlink" Target="https://www.iso.org/standard/63026.html" TargetMode="External"/><Relationship Id="rId24" Type="http://schemas.openxmlformats.org/officeDocument/2006/relationships/hyperlink" Target="https://c2ccertified.org/the-standard" TargetMode="External"/><Relationship Id="rId32" Type="http://schemas.openxmlformats.org/officeDocument/2006/relationships/hyperlink" Target="https://dogc.gencat.cat/ca/document-del-dogc/?documentId=966011" TargetMode="External"/><Relationship Id="rId37" Type="http://schemas.openxmlformats.org/officeDocument/2006/relationships/hyperlink" Target="https://www.aecoc.es/servicios/leangreen-espana/" TargetMode="External"/><Relationship Id="rId40"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productes/plast" TargetMode="External"/><Relationship Id="rId5" Type="http://schemas.openxmlformats.org/officeDocument/2006/relationships/hyperlink" Target="https://finance.ec.europa.eu/capital-markets-union-and-financial-markets/company-reporting-and-auditing/company-reporting/corporate-sustainability-reporting_en" TargetMode="External"/><Relationship Id="rId15" Type="http://schemas.openxmlformats.org/officeDocument/2006/relationships/hyperlink" Target="https://suppliers.catalonia.com/" TargetMode="External"/><Relationship Id="rId23" Type="http://schemas.openxmlformats.org/officeDocument/2006/relationships/hyperlink" Target="https://environment.ec.europa.eu/strategy/circular-economy-action-plan_en" TargetMode="External"/><Relationship Id="rId28" Type="http://schemas.openxmlformats.org/officeDocument/2006/relationships/hyperlink" Target="https://residus.gencat.cat/ca/ambits_dactuacio/tipus_de_residu/residus_comercials/" TargetMode="External"/><Relationship Id="rId36" Type="http://schemas.openxmlformats.org/officeDocument/2006/relationships/hyperlink" Target="https://portaljuridic.gencat.cat/ca/document-del-pjur/?documentId=794501" TargetMode="External"/><Relationship Id="rId10" Type="http://schemas.openxmlformats.org/officeDocument/2006/relationships/hyperlink" Target="https://www.boe.es/buscar/act.php?id=BOE-A-2022-5809" TargetMode="External"/><Relationship Id="rId19" Type="http://schemas.openxmlformats.org/officeDocument/2006/relationships/hyperlink" Target="https://www.unep.org/es/noticias-y-reportajes/reportajes/compostar-puede-ayudarnos-reducir-nuestro-impacto-en-el-planeta" TargetMode="External"/><Relationship Id="rId31" Type="http://schemas.openxmlformats.org/officeDocument/2006/relationships/hyperlink" Target="https://treball.gencat.cat/ca/ambits/seguretat_i_salut_laboral/ci_/pla-govern/" TargetMode="External"/><Relationship Id="rId4" Type="http://schemas.openxmlformats.org/officeDocument/2006/relationships/hyperlink" Target="https://www.iso.org/iso-14001-environmental-management.html" TargetMode="External"/><Relationship Id="rId9" Type="http://schemas.openxmlformats.org/officeDocument/2006/relationships/hyperlink" Target="https://www.boe.es/buscar/doc.php?id=BOE-A-2020-12214" TargetMode="External"/><Relationship Id="rId14" Type="http://schemas.openxmlformats.org/officeDocument/2006/relationships/hyperlink" Target="https://canviclimatic.gencat.cat/ca/ambits/mitigacio/gasos_fluorats/" TargetMode="External"/><Relationship Id="rId22" Type="http://schemas.openxmlformats.org/officeDocument/2006/relationships/hyperlink" Target="https://ellenmacarthurfoundation.org/es" TargetMode="External"/><Relationship Id="rId27" Type="http://schemas.openxmlformats.org/officeDocument/2006/relationships/hyperlink" Target="https://act.gencat.cat/wp-content/uploads/2019/05/CAT-ACT-POL%C3%8DTICA-DE-PRIVACITAT.pdf" TargetMode="External"/><Relationship Id="rId30" Type="http://schemas.openxmlformats.org/officeDocument/2006/relationships/hyperlink" Target="https://www.pimec.org/ca/pimes-autonoms/serveis/medi-ambient-responsabilitat-social-corporativa/codi-etic-conducta" TargetMode="External"/><Relationship Id="rId35" Type="http://schemas.openxmlformats.org/officeDocument/2006/relationships/hyperlink" Target="https://www.pimec.org/ca/guies-sobre-proteccio-dades-al-comerc-diputacio-barcelona"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unep.org/es/noticias-y-reportajes/reportajes/compostar-puede-ayudarnos-reducir-nuestro-impacto-en-el-planeta" TargetMode="External"/><Relationship Id="rId13" Type="http://schemas.openxmlformats.org/officeDocument/2006/relationships/hyperlink" Target="https://environment.ec.europa.eu/strategy/circular-economy-action-plan_en" TargetMode="External"/><Relationship Id="rId18" Type="http://schemas.openxmlformats.org/officeDocument/2006/relationships/hyperlink" Target="https://canviclimatic.gencat.cat/ca/oficina/index.html" TargetMode="External"/><Relationship Id="rId26" Type="http://schemas.openxmlformats.org/officeDocument/2006/relationships/hyperlink" Target="https://finance.ec.europa.eu/capital-markets-union-and-financial-markets/company-reporting-and-auditing/company-reporting/corporate-sustainability-reporting_en" TargetMode="External"/><Relationship Id="rId39" Type="http://schemas.openxmlformats.org/officeDocument/2006/relationships/hyperlink" Target="https://dogc.gencat.cat/ca/document-del-dogc/?documentId=966011" TargetMode="External"/><Relationship Id="rId3" Type="http://schemas.openxmlformats.org/officeDocument/2006/relationships/hyperlink" Target="https://sustainablepackaging.org/" TargetMode="External"/><Relationship Id="rId21"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aleg/productes/productes-de-material-compostable/" TargetMode="External"/><Relationship Id="rId34" Type="http://schemas.openxmlformats.org/officeDocument/2006/relationships/hyperlink" Target="https://environment.ec.europa.eu/topics/circular-economy/eu-ecolabel-home/product-groups-and-criteria_en" TargetMode="External"/><Relationship Id="rId42" Type="http://schemas.openxmlformats.org/officeDocument/2006/relationships/printerSettings" Target="../printerSettings/printerSettings11.bin"/><Relationship Id="rId7" Type="http://schemas.openxmlformats.org/officeDocument/2006/relationships/hyperlink" Target="https://suppliers.catalonia.com/" TargetMode="External"/><Relationship Id="rId12" Type="http://schemas.openxmlformats.org/officeDocument/2006/relationships/hyperlink" Target="https://ellenmacarthurfoundation.org/es" TargetMode="External"/><Relationship Id="rId17" Type="http://schemas.openxmlformats.org/officeDocument/2006/relationships/hyperlink" Target="https://www.aecoc.es/servicios/leangreen-espana/" TargetMode="External"/><Relationship Id="rId25" Type="http://schemas.openxmlformats.org/officeDocument/2006/relationships/hyperlink" Target="https://www.iso.org/iso-14001-environmental-management.html" TargetMode="External"/><Relationship Id="rId33" Type="http://schemas.openxmlformats.org/officeDocument/2006/relationships/hyperlink" Target="https://mediambient.gencat.cat/ca/05_ambits_dactuacio/empresa_i_produccio_sostenible/sistemes_de_gestio/sistemes_de_gestio_ambiental_iso_14001_i_emas/emas/index.html" TargetMode="External"/><Relationship Id="rId38" Type="http://schemas.openxmlformats.org/officeDocument/2006/relationships/hyperlink" Target="https://treball.gencat.cat/ca/ambits/seguretat_i_salut_laboral/ci_/pla-govern/" TargetMode="External"/><Relationship Id="rId2" Type="http://schemas.openxmlformats.org/officeDocument/2006/relationships/hyperlink" Target="https://eur-lex.europa.eu/ES/legal-content/summary/single-use-plastics-fighting-the-impact-on-the-environment.html" TargetMode="External"/><Relationship Id="rId16" Type="http://schemas.openxmlformats.org/officeDocument/2006/relationships/hyperlink" Target="https://portaljuridic.gencat.cat/ca/document-del-pjur/?documentId=794501" TargetMode="External"/><Relationship Id="rId20" Type="http://schemas.openxmlformats.org/officeDocument/2006/relationships/hyperlink" Target="https://canviclimatic.gencat.cat/ca/oficina/index.html" TargetMode="External"/><Relationship Id="rId29" Type="http://schemas.openxmlformats.org/officeDocument/2006/relationships/hyperlink" Target="https://ghgprotocol.org/" TargetMode="External"/><Relationship Id="rId41" Type="http://schemas.openxmlformats.org/officeDocument/2006/relationships/hyperlink" Target="https://govern.cat/gov/pla-govern?eix=0&amp;ambit=1" TargetMode="External"/><Relationship Id="rId1" Type="http://schemas.openxmlformats.org/officeDocument/2006/relationships/hyperlink" Target="https://sede.agenciatributaria.gob.es/Sede/impuestos-especiales-medioambientales/impuesto-especial-sobre-envases-plastico-reutilizables.html" TargetMode="External"/><Relationship Id="rId6" Type="http://schemas.openxmlformats.org/officeDocument/2006/relationships/hyperlink" Target="https://www.miteco.gob.es/es/cambio-climatico/temas/mitigacion-politicas-y-medidas/fluorados.aspx" TargetMode="External"/><Relationship Id="rId11" Type="http://schemas.openxmlformats.org/officeDocument/2006/relationships/hyperlink" Target="https://commission.europa.eu/law/law-topic/data-protection_es" TargetMode="External"/><Relationship Id="rId24" Type="http://schemas.openxmlformats.org/officeDocument/2006/relationships/hyperlink" Target="https://www.iso.org/iso-9001-quality-management.html" TargetMode="External"/><Relationship Id="rId32" Type="http://schemas.openxmlformats.org/officeDocument/2006/relationships/hyperlink" Target="https://www.iso.org/standard/63026.html" TargetMode="External"/><Relationship Id="rId37" Type="http://schemas.openxmlformats.org/officeDocument/2006/relationships/hyperlink" Target="https://www.pimec.org/ca/pimes-autonoms/serveis/medi-ambient-responsabilitat-social-corporativa/codi-etic-conducta" TargetMode="External"/><Relationship Id="rId40" Type="http://schemas.openxmlformats.org/officeDocument/2006/relationships/hyperlink" Target="https://apdcat.gencat.cat/ca/drets_i_obligacions/rgpd" TargetMode="External"/><Relationship Id="rId5" Type="http://schemas.openxmlformats.org/officeDocument/2006/relationships/hyperlink" Target="https://wedocs.unep.org/bitstream/handle/20.500.11822/28246/7789GWPRef_SP.pdf?sequence=1&amp;isAllowed=y" TargetMode="External"/><Relationship Id="rId15" Type="http://schemas.openxmlformats.org/officeDocument/2006/relationships/hyperlink" Target="https://www.pimec.org/ca/guies-sobre-proteccio-dades-al-comerc-diputacio-barcelona" TargetMode="External"/><Relationship Id="rId23" Type="http://schemas.openxmlformats.org/officeDocument/2006/relationships/hyperlink" Target="https://mediambient.gencat.cat/ca/05_ambits_dactuacio/empresa_i_produccio_sostenible/economia_verda/catalunya_circular/" TargetMode="External"/><Relationship Id="rId28" Type="http://schemas.openxmlformats.org/officeDocument/2006/relationships/hyperlink" Target="https://www.globalreporting.org/standards/download-the-standards/" TargetMode="External"/><Relationship Id="rId36" Type="http://schemas.openxmlformats.org/officeDocument/2006/relationships/hyperlink" Target="https://www.pactomundial.org/wp-content/uploads/2021/10/Codigo_conducta_proveedores.pdf" TargetMode="External"/><Relationship Id="rId10" Type="http://schemas.openxmlformats.org/officeDocument/2006/relationships/hyperlink" Target="https://cido.diba.cat/convenis_collectius/9604/comerc-de-catalunya-per-a-subsectors-i-empreses-sense-conveni-propi" TargetMode="External"/><Relationship Id="rId19" Type="http://schemas.openxmlformats.org/officeDocument/2006/relationships/hyperlink" Target="https://www.aecoc.es/servicios/leangreen-espana/" TargetMode="External"/><Relationship Id="rId31" Type="http://schemas.openxmlformats.org/officeDocument/2006/relationships/hyperlink" Target="https://www.boe.es/buscar/act.php?id=BOE-A-2022-5809" TargetMode="External"/><Relationship Id="rId4" Type="http://schemas.openxmlformats.org/officeDocument/2006/relationships/hyperlink" Target="https://www.un.org/es/climatechange/raising-ambition/renewable-energy" TargetMode="External"/><Relationship Id="rId9" Type="http://schemas.openxmlformats.org/officeDocument/2006/relationships/hyperlink" Target="https://ajuntament.barcelona.cat/neteja-i-residus/es/recogida-comercial" TargetMode="External"/><Relationship Id="rId14" Type="http://schemas.openxmlformats.org/officeDocument/2006/relationships/hyperlink" Target="https://c2ccertified.org/the-standard" TargetMode="External"/><Relationship Id="rId22"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serveis/xarxes_establiments_alimentari_290/index.html" TargetMode="External"/><Relationship Id="rId27" Type="http://schemas.openxmlformats.org/officeDocument/2006/relationships/hyperlink" Target="https://www.boe.es/buscar/doc.php?id=BOE-A-2018-17989" TargetMode="External"/><Relationship Id="rId30" Type="http://schemas.openxmlformats.org/officeDocument/2006/relationships/hyperlink" Target="https://www.boe.es/buscar/doc.php?id=BOE-A-2020-12214" TargetMode="External"/><Relationship Id="rId35" Type="http://schemas.openxmlformats.org/officeDocument/2006/relationships/hyperlink" Target="https://act.gencat.cat/wp-content/uploads/2019/05/CAT-ACT-POL%C3%8DTICA-DE-PRIVACITAT.pdf"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transport.ec.europa.eu/transport-themes/logistics-and-multimodal-transport_en" TargetMode="External"/><Relationship Id="rId13" Type="http://schemas.openxmlformats.org/officeDocument/2006/relationships/hyperlink" Target="https://www.globalreporting.org/standards/download-the-standards/" TargetMode="External"/><Relationship Id="rId18" Type="http://schemas.openxmlformats.org/officeDocument/2006/relationships/hyperlink" Target="https://sustainablepackaging.org/" TargetMode="External"/><Relationship Id="rId26" Type="http://schemas.openxmlformats.org/officeDocument/2006/relationships/hyperlink" Target="https://www.pimec.org/ca/pimes-autonoms/serveis/medi-ambient-responsabilitat-social-corporativa/codi-etic-conducta" TargetMode="External"/><Relationship Id="rId39" Type="http://schemas.openxmlformats.org/officeDocument/2006/relationships/printerSettings" Target="../printerSettings/printerSettings12.bin"/><Relationship Id="rId3" Type="http://schemas.openxmlformats.org/officeDocument/2006/relationships/hyperlink" Target="https://eur-lex.europa.eu/legal-content/EN/TXT/?uri=CELEX%3A02011R0582-20191215&amp;qid=1592486419425" TargetMode="External"/><Relationship Id="rId21" Type="http://schemas.openxmlformats.org/officeDocument/2006/relationships/hyperlink" Target="https://www.railfreightforward.eu/" TargetMode="External"/><Relationship Id="rId34" Type="http://schemas.openxmlformats.org/officeDocument/2006/relationships/hyperlink" Target="https://www.aecoc.es/servicios/leangreen-espana/" TargetMode="External"/><Relationship Id="rId7" Type="http://schemas.openxmlformats.org/officeDocument/2006/relationships/hyperlink" Target="https://commission.europa.eu/energy-climate-change-environment/standards-tools-and-labels/products-labelling-rules-and-requirements/energy-label-and-ecodesign/energy-efficient-products/tyres_en" TargetMode="External"/><Relationship Id="rId12" Type="http://schemas.openxmlformats.org/officeDocument/2006/relationships/hyperlink" Target="https://www.boe.es/buscar/doc.php?id=BOE-A-2018-17989" TargetMode="External"/><Relationship Id="rId17" Type="http://schemas.openxmlformats.org/officeDocument/2006/relationships/hyperlink" Target="https://www.boe.es/buscar/act.php?id=BOE-A-2022-5809" TargetMode="External"/><Relationship Id="rId25" Type="http://schemas.openxmlformats.org/officeDocument/2006/relationships/hyperlink" Target="https://www.pactomundial.org/wp-content/uploads/2021/10/Codigo_conducta_proveedores.pdf" TargetMode="External"/><Relationship Id="rId33" Type="http://schemas.openxmlformats.org/officeDocument/2006/relationships/hyperlink" Target="https://territori.gencat.cat/ca/03_infraestructures_i_mobilitat/activitats_i_professionals_del_transport/subvencions-modernitzacio-empreses-privades-transport-carretera/index.html" TargetMode="External"/><Relationship Id="rId38" Type="http://schemas.openxmlformats.org/officeDocument/2006/relationships/hyperlink" Target="https://residus.gencat.cat/ca/ambits_dactuacio/tipus_de_residu/residus_comercials/" TargetMode="External"/><Relationship Id="rId2" Type="http://schemas.openxmlformats.org/officeDocument/2006/relationships/hyperlink" Target="https://www.europarl.europa.eu/thinktank/en/document/EPRS_BRI(2023)740246" TargetMode="External"/><Relationship Id="rId16" Type="http://schemas.openxmlformats.org/officeDocument/2006/relationships/hyperlink" Target="https://www.boe.es/buscar/doc.php?id=BOE-A-2020-12214" TargetMode="External"/><Relationship Id="rId20" Type="http://schemas.openxmlformats.org/officeDocument/2006/relationships/hyperlink" Target="https://sede.agenciatributaria.gob.es/Sede/impuestos-especiales-medioambientales/impuesto-especial-sobre-envases-plastico-reutilizables.html" TargetMode="External"/><Relationship Id="rId29" Type="http://schemas.openxmlformats.org/officeDocument/2006/relationships/hyperlink" Target="https://govern.cat/gov/pla-govern?eix=0&amp;ambit=1" TargetMode="External"/><Relationship Id="rId1" Type="http://schemas.openxmlformats.org/officeDocument/2006/relationships/hyperlink" Target="https://eur-lex.europa.eu/legal-content/ES/TXT/?uri=CELEX%3A32014L0094" TargetMode="External"/><Relationship Id="rId6" Type="http://schemas.openxmlformats.org/officeDocument/2006/relationships/hyperlink" Target="https://urbanaccessregulations.eu/userhome/map" TargetMode="External"/><Relationship Id="rId11" Type="http://schemas.openxmlformats.org/officeDocument/2006/relationships/hyperlink" Target="https://finance.ec.europa.eu/capital-markets-union-and-financial-markets/company-reporting-and-auditing/company-reporting/corporate-sustainability-reporting_en" TargetMode="External"/><Relationship Id="rId24" Type="http://schemas.openxmlformats.org/officeDocument/2006/relationships/hyperlink" Target="https://act.gencat.cat/wp-content/uploads/2019/05/CAT-ACT-POL%C3%8DTICA-DE-PRIVACITAT.pdf" TargetMode="External"/><Relationship Id="rId32" Type="http://schemas.openxmlformats.org/officeDocument/2006/relationships/hyperlink" Target="https://governobert.gencat.cat/ca/transparencia/normativa-i-informacio-interes-juridic/normativa/normativa-en-tramit/ter/en-tramit/llei_transports_viatgers_9_places" TargetMode="External"/><Relationship Id="rId37" Type="http://schemas.openxmlformats.org/officeDocument/2006/relationships/hyperlink" Target="https://mediambient.gencat.cat/ca/05_ambits_dactuacio/empresa_i_produccio_sostenible/economia_verda/catalunya_circular/" TargetMode="External"/><Relationship Id="rId5" Type="http://schemas.openxmlformats.org/officeDocument/2006/relationships/hyperlink" Target="https://territori.gencat.cat/ca/03_infraestructures_i_mobilitat/zones-baixes-emissions-zbe/" TargetMode="External"/><Relationship Id="rId15" Type="http://schemas.openxmlformats.org/officeDocument/2006/relationships/hyperlink" Target="https://eippcb.jrc.ec.europa.eu/sites/default/files/2021-09/ENE_Adopted_02-2009corrected20210914.pdf" TargetMode="External"/><Relationship Id="rId23" Type="http://schemas.openxmlformats.org/officeDocument/2006/relationships/hyperlink" Target="https://mediambient.gencat.cat/ca/05_ambits_dactuacio/empresa_i_produccio_sostenible/sistemes_de_gestio/sistemes_de_gestio_ambiental_iso_14001_i_emas/emas/index.html" TargetMode="External"/><Relationship Id="rId28" Type="http://schemas.openxmlformats.org/officeDocument/2006/relationships/hyperlink" Target="https://treball.gencat.cat/ca/ambits/seguretat_i_salut_laboral/ci_/pla-govern/" TargetMode="External"/><Relationship Id="rId36" Type="http://schemas.openxmlformats.org/officeDocument/2006/relationships/hyperlink" Target="https://territori.gencat.cat/ca/03_infraestructures_i_mobilitat/transport-mercaderies-logistica/digitalitzacio-del-transport-terrestre-de-mercaderies/" TargetMode="External"/><Relationship Id="rId10" Type="http://schemas.openxmlformats.org/officeDocument/2006/relationships/hyperlink" Target="https://www.iso.org/iso-14001-environmental-management.html" TargetMode="External"/><Relationship Id="rId19" Type="http://schemas.openxmlformats.org/officeDocument/2006/relationships/hyperlink" Target="https://eur-lex.europa.eu/ES/legal-content/summary/single-use-plastics-fighting-the-impact-on-the-environment.html" TargetMode="External"/><Relationship Id="rId31" Type="http://schemas.openxmlformats.org/officeDocument/2006/relationships/hyperlink" Target="https://treball.gencat.cat/ca/ambits/seguretat_i_salut_laboral/publicacions/sectors_activitats/transport/" TargetMode="External"/><Relationship Id="rId4" Type="http://schemas.openxmlformats.org/officeDocument/2006/relationships/hyperlink" Target="https://icaen.gencat.cat/es/energia/ajuts/mobilitat/pla-moves-iii/" TargetMode="External"/><Relationship Id="rId9" Type="http://schemas.openxmlformats.org/officeDocument/2006/relationships/hyperlink" Target="https://www.iso.org/iso-9001-quality-management.html" TargetMode="External"/><Relationship Id="rId14" Type="http://schemas.openxmlformats.org/officeDocument/2006/relationships/hyperlink" Target="https://ghgprotocol.org/" TargetMode="External"/><Relationship Id="rId22" Type="http://schemas.openxmlformats.org/officeDocument/2006/relationships/hyperlink" Target="https://rail-research.europa.eu/about-shift2rail/" TargetMode="External"/><Relationship Id="rId27"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vehicles/" TargetMode="External"/><Relationship Id="rId30" Type="http://schemas.openxmlformats.org/officeDocument/2006/relationships/hyperlink" Target="https://fonseuropeus.gencat.cat/ca/ris3cat/2030/index.html" TargetMode="External"/><Relationship Id="rId35" Type="http://schemas.openxmlformats.org/officeDocument/2006/relationships/hyperlink" Target="https://canviclimatic.gencat.cat/ca/oficina/index.html"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tothcompliance.com/codigo-de-conducta-de-una-empresa-que-es-y-para-que-sirve/" TargetMode="External"/><Relationship Id="rId13" Type="http://schemas.openxmlformats.org/officeDocument/2006/relationships/hyperlink" Target="https://www.globalreporting.org/standards/download-the-standards/" TargetMode="External"/><Relationship Id="rId18" Type="http://schemas.openxmlformats.org/officeDocument/2006/relationships/hyperlink" Target="https://www.boe.es/buscar/doc.php?id=BOE-A-2020-12214" TargetMode="External"/><Relationship Id="rId3" Type="http://schemas.openxmlformats.org/officeDocument/2006/relationships/hyperlink" Target="https://www.railfreightforward.eu/" TargetMode="External"/><Relationship Id="rId21" Type="http://schemas.openxmlformats.org/officeDocument/2006/relationships/hyperlink" Target="https://eur-lex.europa.eu/ES/legal-content/summary/single-use-plastics-fighting-the-impact-on-the-environment.html" TargetMode="External"/><Relationship Id="rId7" Type="http://schemas.openxmlformats.org/officeDocument/2006/relationships/hyperlink" Target="https://www.iso.org/iso-9001-quality-management.html" TargetMode="External"/><Relationship Id="rId12" Type="http://schemas.openxmlformats.org/officeDocument/2006/relationships/hyperlink" Target="https://www.boe.es/buscar/doc.php?id=BOE-A-2018-17989" TargetMode="External"/><Relationship Id="rId17" Type="http://schemas.openxmlformats.org/officeDocument/2006/relationships/hyperlink" Target="https://www.iberdrola.com/proveedores/contribucion-sostenibilidad/codigo-etico-proveedor" TargetMode="External"/><Relationship Id="rId2" Type="http://schemas.openxmlformats.org/officeDocument/2006/relationships/hyperlink" Target="https://www.boe.es/doue/2016/138/L00001-00043.pdf" TargetMode="External"/><Relationship Id="rId16" Type="http://schemas.openxmlformats.org/officeDocument/2006/relationships/hyperlink" Target="https://act.gencat.cat/wp-content/uploads/2019/05/ESP-ACT-POL%C3%8DTICA-DE-PRIVACITAT.pdf" TargetMode="External"/><Relationship Id="rId20" Type="http://schemas.openxmlformats.org/officeDocument/2006/relationships/hyperlink" Target="https://sustainablepackaging.org/" TargetMode="External"/><Relationship Id="rId1" Type="http://schemas.openxmlformats.org/officeDocument/2006/relationships/hyperlink" Target="https://www.en.aenor.com/_layouts/15/r.aspx?c=N0051329" TargetMode="External"/><Relationship Id="rId6" Type="http://schemas.openxmlformats.org/officeDocument/2006/relationships/hyperlink" Target="https://www.aecoc.es/servicios/leangreen-espana/" TargetMode="External"/><Relationship Id="rId11" Type="http://schemas.openxmlformats.org/officeDocument/2006/relationships/hyperlink" Target="https://finance.ec.europa.eu/capital-markets-union-and-financial-markets/company-reporting-and-auditing/company-reporting/corporate-sustainability-reporting_en" TargetMode="External"/><Relationship Id="rId5" Type="http://schemas.openxmlformats.org/officeDocument/2006/relationships/hyperlink" Target="https://transport.ec.europa.eu/transport-themes/logistics-and-multimodal-transport_en" TargetMode="External"/><Relationship Id="rId15" Type="http://schemas.openxmlformats.org/officeDocument/2006/relationships/hyperlink" Target="https://eippcb.jrc.ec.europa.eu/sites/default/files/2021-09/ENE_Adopted_02-2009corrected20210914.pdf" TargetMode="External"/><Relationship Id="rId23" Type="http://schemas.openxmlformats.org/officeDocument/2006/relationships/printerSettings" Target="../printerSettings/printerSettings13.bin"/><Relationship Id="rId10" Type="http://schemas.openxmlformats.org/officeDocument/2006/relationships/hyperlink" Target="https://www.iso.org/iso-14001-environmental-management.html" TargetMode="External"/><Relationship Id="rId19" Type="http://schemas.openxmlformats.org/officeDocument/2006/relationships/hyperlink" Target="https://www.boe.es/buscar/act.php?id=BOE-A-2022-5809" TargetMode="External"/><Relationship Id="rId4" Type="http://schemas.openxmlformats.org/officeDocument/2006/relationships/hyperlink" Target="https://rail-research.europa.eu/about-shift2rail/" TargetMode="External"/><Relationship Id="rId9" Type="http://schemas.openxmlformats.org/officeDocument/2006/relationships/hyperlink" Target="https://teams.microsoft.com/l/message/19:1dc7939e-a004-4485-b3a9-daf9384743b1_f71ec49e-4d94-4419-abf7-a81ffbf1438c@unq.gbl.spaces/1690543383462?context=%7B%22contextType%22%3A%22chat%22%7D" TargetMode="External"/><Relationship Id="rId14" Type="http://schemas.openxmlformats.org/officeDocument/2006/relationships/hyperlink" Target="https://ghgprotocol.org/" TargetMode="External"/><Relationship Id="rId22" Type="http://schemas.openxmlformats.org/officeDocument/2006/relationships/hyperlink" Target="https://sede.agenciatributaria.gob.es/Sede/impuestos-especiales-medioambientales/impuesto-especial-sobre-envases-plastico-reutilizables.html"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www.iso.org/iso-14001-environmental-management.html" TargetMode="External"/><Relationship Id="rId18" Type="http://schemas.openxmlformats.org/officeDocument/2006/relationships/hyperlink" Target="https://eippcb.jrc.ec.europa.eu/sites/default/files/2021-09/ENE_Adopted_02-2009corrected20210914.pdf" TargetMode="External"/><Relationship Id="rId26" Type="http://schemas.openxmlformats.org/officeDocument/2006/relationships/hyperlink" Target="https://mediambient.gencat.cat/ca/05_ambits_dactuacio/empresa_i_produccio_sostenible/sistemes_de_gestio/sistemes_de_gestio_ambiental_iso_14001_i_emas/emas/index.html" TargetMode="External"/><Relationship Id="rId39" Type="http://schemas.openxmlformats.org/officeDocument/2006/relationships/hyperlink" Target="https://dogc.gencat.cat/ca/document-del-dogc/?documentId=966011" TargetMode="External"/><Relationship Id="rId21" Type="http://schemas.openxmlformats.org/officeDocument/2006/relationships/hyperlink" Target="https://www.iso.org/standard/63026.html" TargetMode="External"/><Relationship Id="rId34" Type="http://schemas.openxmlformats.org/officeDocument/2006/relationships/hyperlink" Target="https://agricultura.gencat.cat/ca/ambits/alimentacio/malbaratament-alimentari/normativa/" TargetMode="External"/><Relationship Id="rId42" Type="http://schemas.openxmlformats.org/officeDocument/2006/relationships/hyperlink" Target="https://fonseuropeus.gencat.cat/ca/ris3cat/2030/index.html" TargetMode="External"/><Relationship Id="rId47" Type="http://schemas.openxmlformats.org/officeDocument/2006/relationships/hyperlink" Target="https://act.gencat.cat/regio-mundial-de-la-gastronomia-2025/" TargetMode="External"/><Relationship Id="rId50" Type="http://schemas.openxmlformats.org/officeDocument/2006/relationships/hyperlink" Target="https://wedocs.unep.org/bitstream/handle/20.500.11822/28246/7789GWPRef_SP.pdf?sequence=1&amp;isAllowed=y" TargetMode="External"/><Relationship Id="rId55" Type="http://schemas.openxmlformats.org/officeDocument/2006/relationships/hyperlink" Target="https://consum.gencat.cat/ca/empreses/requisits-obligatoris/descarrega-de-cartells-i-documents/" TargetMode="External"/><Relationship Id="rId7" Type="http://schemas.openxmlformats.org/officeDocument/2006/relationships/hyperlink" Target="https://eur-lex.europa.eu/ES/legal-content/summary/single-use-plastics-fighting-the-impact-on-the-environment.html" TargetMode="External"/><Relationship Id="rId12" Type="http://schemas.openxmlformats.org/officeDocument/2006/relationships/hyperlink" Target="https://www.iso.org/iso-9001-quality-management.html" TargetMode="External"/><Relationship Id="rId17" Type="http://schemas.openxmlformats.org/officeDocument/2006/relationships/hyperlink" Target="https://ghgprotocol.org/" TargetMode="External"/><Relationship Id="rId25" Type="http://schemas.openxmlformats.org/officeDocument/2006/relationships/hyperlink" Target="https://www.aecoc.es/servicios/leangreen-espana/" TargetMode="External"/><Relationship Id="rId33" Type="http://schemas.openxmlformats.org/officeDocument/2006/relationships/hyperlink" Target="https://canalsalut.gencat.cat/ca/detalls/article/Legionellosi-00002" TargetMode="External"/><Relationship Id="rId38" Type="http://schemas.openxmlformats.org/officeDocument/2006/relationships/hyperlink" Target="https://treball.gencat.cat/ca/ambits/seguretat_i_salut_laboral/ci_/pla-govern/" TargetMode="External"/><Relationship Id="rId46" Type="http://schemas.openxmlformats.org/officeDocument/2006/relationships/hyperlink" Target="https://treball.gencat.cat/web/.content/09_-_seguretat_i_salut_laboral/publicacions/imatges/INFORME-DE-LESTUDI-DE-LES-CONDICIONS-DE-TREBALL-DEL-COLLECTIU-DE-CAMBRERS-I-CAMBRERES-DE-PIS.pdf" TargetMode="External"/><Relationship Id="rId59" Type="http://schemas.openxmlformats.org/officeDocument/2006/relationships/hyperlink" Target="https://residus.gencat.cat/ca/consultes_i_tramits_-_nou/normativa/" TargetMode="External"/><Relationship Id="rId2" Type="http://schemas.openxmlformats.org/officeDocument/2006/relationships/hyperlink" Target="https://ourworldindata.org/grapher/food-emissions-supply-chain" TargetMode="External"/><Relationship Id="rId16" Type="http://schemas.openxmlformats.org/officeDocument/2006/relationships/hyperlink" Target="https://www.globalreporting.org/standards/download-the-standards/" TargetMode="External"/><Relationship Id="rId20" Type="http://schemas.openxmlformats.org/officeDocument/2006/relationships/hyperlink" Target="https://www.boe.es/buscar/act.php?id=BOE-A-2022-5809" TargetMode="External"/><Relationship Id="rId29"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serveis/establiments-de-restauracio/" TargetMode="External"/><Relationship Id="rId41" Type="http://schemas.openxmlformats.org/officeDocument/2006/relationships/hyperlink" Target="https://govern.cat/gov/pla-govern?eix=0&amp;ambit=1" TargetMode="External"/><Relationship Id="rId54"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aleg/productes/productes-de-material-compostable/" TargetMode="External"/><Relationship Id="rId1" Type="http://schemas.openxmlformats.org/officeDocument/2006/relationships/hyperlink" Target="https://suppliers.catalonia.com/" TargetMode="External"/><Relationship Id="rId6" Type="http://schemas.openxmlformats.org/officeDocument/2006/relationships/hyperlink" Target="https://www.boe.es/diario_boe/txt.php?id=BOE-A-2023-6344" TargetMode="External"/><Relationship Id="rId11" Type="http://schemas.openxmlformats.org/officeDocument/2006/relationships/hyperlink" Target="https://environment.ec.europa.eu/topics/circular-economy/eu-ecolabel-home/product-groups-and-criteria/holiday-accommodation_en" TargetMode="External"/><Relationship Id="rId24" Type="http://schemas.openxmlformats.org/officeDocument/2006/relationships/hyperlink" Target="https://sustainablepackaging.org/" TargetMode="External"/><Relationship Id="rId32" Type="http://schemas.openxmlformats.org/officeDocument/2006/relationships/hyperlink" Target="https://sustainablehospitalityalliance.org/resources/search/?q=&amp;action_area=climate-action&amp;tool_type=&amp;topic" TargetMode="External"/><Relationship Id="rId37" Type="http://schemas.openxmlformats.org/officeDocument/2006/relationships/hyperlink" Target="https://mediambient.gencat.cat/ca/05_ambits_dactuacio/empresa_i_produccio_sostenible/sistemes_de_gestio/sistemes_de_gestio_ambiental_iso_14001_i_emas/emas/publicacions/altres_publicacions_i_guies/" TargetMode="External"/><Relationship Id="rId40" Type="http://schemas.openxmlformats.org/officeDocument/2006/relationships/hyperlink" Target="https://apdcat.gencat.cat/ca/drets_i_obligacions/rgpd" TargetMode="External"/><Relationship Id="rId45" Type="http://schemas.openxmlformats.org/officeDocument/2006/relationships/hyperlink" Target="https://cido.diba.cat/convenis_collectius/9257/industria-dhostaleria-i-turisme-de-catalunya" TargetMode="External"/><Relationship Id="rId53" Type="http://schemas.openxmlformats.org/officeDocument/2006/relationships/hyperlink" Target="https://mediambient.gencat.cat/web/.content/home/ambits_dactuacio/empresa_i_produccio_sostenible/ecoproductes_i_ecoserveis/esdeveniments-sostenibles/GENCAT-ESDEVENIMENTS_V.9-9-acces.pdf" TargetMode="External"/><Relationship Id="rId58" Type="http://schemas.openxmlformats.org/officeDocument/2006/relationships/hyperlink" Target="https://mediambient.gencat.cat/ca/05_ambits_dactuacio/empresa_i_produccio_sostenible/economia_verda/catalunya_circular/" TargetMode="External"/><Relationship Id="rId5" Type="http://schemas.openxmlformats.org/officeDocument/2006/relationships/hyperlink" Target="https://www.santpol.edu.es/en/blog/3-steps-for-a-hotel-sustainable-water-management/" TargetMode="External"/><Relationship Id="rId15" Type="http://schemas.openxmlformats.org/officeDocument/2006/relationships/hyperlink" Target="https://www.boe.es/buscar/doc.php?id=BOE-A-2018-17989" TargetMode="External"/><Relationship Id="rId23" Type="http://schemas.openxmlformats.org/officeDocument/2006/relationships/hyperlink" Target="https://eur-lex.europa.eu/ES/legal-content/summary/single-use-plastics-fighting-the-impact-on-the-environment.html" TargetMode="External"/><Relationship Id="rId28" Type="http://schemas.openxmlformats.org/officeDocument/2006/relationships/hyperlink" Target="https://act.gencat.cat/wp-content/uploads/2019/05/CAT-ACT-POL%C3%8DTICA-DE-PRIVACITAT.pdf" TargetMode="External"/><Relationship Id="rId36"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serveis/establiments-de-restauracio/" TargetMode="External"/><Relationship Id="rId49" Type="http://schemas.openxmlformats.org/officeDocument/2006/relationships/hyperlink" Target="https://www.un.org/es/climatechange/raising-ambition/renewable-energy" TargetMode="External"/><Relationship Id="rId57" Type="http://schemas.openxmlformats.org/officeDocument/2006/relationships/hyperlink" Target="https://treball.gencat.cat/ca/consell_relacions_laborals/convenis_colectius/cercador_de_convenis/" TargetMode="External"/><Relationship Id="rId10" Type="http://schemas.openxmlformats.org/officeDocument/2006/relationships/hyperlink" Target="https://ajuntament.barcelona.cat/neteja-i-residus/es/recogida-comercial" TargetMode="External"/><Relationship Id="rId19" Type="http://schemas.openxmlformats.org/officeDocument/2006/relationships/hyperlink" Target="https://www.boe.es/buscar/doc.php?id=BOE-A-2020-12214" TargetMode="External"/><Relationship Id="rId31" Type="http://schemas.openxmlformats.org/officeDocument/2006/relationships/hyperlink" Target="https://www.pimec.org/ca/pimes-autonoms/serveis/medi-ambient-responsabilitat-social-corporativa/codi-etic-conducta" TargetMode="External"/><Relationship Id="rId44" Type="http://schemas.openxmlformats.org/officeDocument/2006/relationships/hyperlink" Target="https://treball.gencat.cat/ca/ambits/seguretat_i_salut_laboral/riscos_i_condicions_treball/mesures_per_activitat/sector_horeca/" TargetMode="External"/><Relationship Id="rId52" Type="http://schemas.openxmlformats.org/officeDocument/2006/relationships/hyperlink" Target="https://canviclimatic.gencat.cat/ca/oficina/index.html" TargetMode="External"/><Relationship Id="rId60" Type="http://schemas.openxmlformats.org/officeDocument/2006/relationships/printerSettings" Target="../printerSettings/printerSettings14.bin"/><Relationship Id="rId4" Type="http://schemas.openxmlformats.org/officeDocument/2006/relationships/hyperlink" Target="https://www.tuigroup.com/damfiles/default/downloads/Plastic_reduction_guidelines_ES.pdf-78d4cd3ee4f96b59539ab2340fec2dda.pdf" TargetMode="External"/><Relationship Id="rId9" Type="http://schemas.openxmlformats.org/officeDocument/2006/relationships/hyperlink" Target="https://www.unep.org/es/noticias-y-reportajes/reportajes/compostar-puede-ayudarnos-reducir-nuestro-impacto-en-el-planeta" TargetMode="External"/><Relationship Id="rId14" Type="http://schemas.openxmlformats.org/officeDocument/2006/relationships/hyperlink" Target="https://finance.ec.europa.eu/capital-markets-union-and-financial-markets/company-reporting-and-auditing/company-reporting/corporate-sustainability-reporting_en" TargetMode="External"/><Relationship Id="rId22" Type="http://schemas.openxmlformats.org/officeDocument/2006/relationships/hyperlink" Target="https://sede.agenciatributaria.gob.es/Sede/impuestos-especiales-medioambientales/impuesto-especial-sobre-envases-plastico-reutilizables.html" TargetMode="External"/><Relationship Id="rId27" Type="http://schemas.openxmlformats.org/officeDocument/2006/relationships/hyperlink" Target="https://environment.ec.europa.eu/topics/circular-economy/eu-ecolabel-home/product-groups-and-criteria_en" TargetMode="External"/><Relationship Id="rId30" Type="http://schemas.openxmlformats.org/officeDocument/2006/relationships/hyperlink" Target="https://www.pactomundial.org/wp-content/uploads/2021/10/Codigo_conducta_proveedores.pdf" TargetMode="External"/><Relationship Id="rId35"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allotjaments/" TargetMode="External"/><Relationship Id="rId43" Type="http://schemas.openxmlformats.org/officeDocument/2006/relationships/hyperlink" Target="https://treball.gencat.cat/ca/ambits/seguretat_i_salut_laboral/riscos_i_condicions_treball/mesures_per_activitat/sector_horeca/" TargetMode="External"/><Relationship Id="rId48" Type="http://schemas.openxmlformats.org/officeDocument/2006/relationships/hyperlink" Target="https://portaldogc.gencat.cat/utilsEADOP/PDF/8827/1948588.pdf" TargetMode="External"/><Relationship Id="rId56" Type="http://schemas.openxmlformats.org/officeDocument/2006/relationships/hyperlink" Target="https://treball.gencat.cat/ca/ambits/seguretat_i_salut_laboral/riscos_i_condicions_treball/mesures_per_activitat/sector_horeca/" TargetMode="External"/><Relationship Id="rId8" Type="http://schemas.openxmlformats.org/officeDocument/2006/relationships/hyperlink" Target="https://sede.agenciatributaria.gob.es/Sede/impuestos-especiales-medioambientales/impuesto-especial-sobre-envases-plastico-reutilizables.html" TargetMode="External"/><Relationship Id="rId51" Type="http://schemas.openxmlformats.org/officeDocument/2006/relationships/hyperlink" Target="https://www.miteco.gob.es/es/cambio-climatico/temas/mitigacion-politicas-y-medidas/fluorados.aspx" TargetMode="External"/><Relationship Id="rId3"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serveis/establiments-de-restauracio/"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eippcb.jrc.ec.europa.eu/sites/default/files/2021-09/ENE_Adopted_02-2009corrected20210914.pdf" TargetMode="External"/><Relationship Id="rId13" Type="http://schemas.openxmlformats.org/officeDocument/2006/relationships/hyperlink" Target="https://fundaciondiversidad.com/es/diversity-charter/" TargetMode="External"/><Relationship Id="rId18" Type="http://schemas.openxmlformats.org/officeDocument/2006/relationships/hyperlink" Target="https://www.pactomundial.org/wp-content/uploads/2021/10/Codigo_conducta_proveedores.pdf" TargetMode="External"/><Relationship Id="rId26" Type="http://schemas.openxmlformats.org/officeDocument/2006/relationships/hyperlink" Target="https://dogc.gencat.cat/ca/document-del-dogc/?documentId=910618" TargetMode="External"/><Relationship Id="rId3" Type="http://schemas.openxmlformats.org/officeDocument/2006/relationships/hyperlink" Target="https://www.iso.org/iso-14001-environmental-management.html" TargetMode="External"/><Relationship Id="rId21" Type="http://schemas.openxmlformats.org/officeDocument/2006/relationships/hyperlink" Target="https://govern.cat/gov/pla-govern?eix=0&amp;ambit=1" TargetMode="External"/><Relationship Id="rId7" Type="http://schemas.openxmlformats.org/officeDocument/2006/relationships/hyperlink" Target="https://ghgprotocol.org/" TargetMode="External"/><Relationship Id="rId12" Type="http://schemas.openxmlformats.org/officeDocument/2006/relationships/hyperlink" Target="https://ciberseguretat.gencat.cat/ca/funcio-i-serveis/proteccio-i-prevencio/" TargetMode="External"/><Relationship Id="rId17" Type="http://schemas.openxmlformats.org/officeDocument/2006/relationships/hyperlink" Target="https://act.gencat.cat/wp-content/uploads/2019/05/CAT-ACT-POL%C3%8DTICA-DE-PRIVACITAT.pdf" TargetMode="External"/><Relationship Id="rId25" Type="http://schemas.openxmlformats.org/officeDocument/2006/relationships/hyperlink" Target="https://dogc.gencat.cat/ca/document-del-dogc/?documentId=966011" TargetMode="External"/><Relationship Id="rId2" Type="http://schemas.openxmlformats.org/officeDocument/2006/relationships/hyperlink" Target="https://www.iso.org/iso-9001-quality-management.html" TargetMode="External"/><Relationship Id="rId16" Type="http://schemas.openxmlformats.org/officeDocument/2006/relationships/hyperlink" Target="https://mediambient.gencat.cat/ca/05_ambits_dactuacio/empresa_i_produccio_sostenible/sistemes_de_gestio/sistemes_de_gestio_ambiental_iso_14001_i_emas/emas/index.html" TargetMode="External"/><Relationship Id="rId20" Type="http://schemas.openxmlformats.org/officeDocument/2006/relationships/hyperlink" Target="https://treball.gencat.cat/ca/ambits/seguretat_i_salut_laboral/ci_/pla-govern/" TargetMode="External"/><Relationship Id="rId29" Type="http://schemas.openxmlformats.org/officeDocument/2006/relationships/hyperlink" Target="https://www.boe.es/buscar/act.php?id=BOE-A-2022-5809" TargetMode="External"/><Relationship Id="rId1" Type="http://schemas.openxmlformats.org/officeDocument/2006/relationships/hyperlink" Target="https://www.iea.org/articles/energy-efficiency-and-digitalisation" TargetMode="External"/><Relationship Id="rId6" Type="http://schemas.openxmlformats.org/officeDocument/2006/relationships/hyperlink" Target="https://www.globalreporting.org/standards/download-the-standards/" TargetMode="External"/><Relationship Id="rId11" Type="http://schemas.openxmlformats.org/officeDocument/2006/relationships/hyperlink" Target="https://www.iso.org/standard/63026.html" TargetMode="External"/><Relationship Id="rId24" Type="http://schemas.openxmlformats.org/officeDocument/2006/relationships/hyperlink" Target="https://notesdeseguretat.blog.gencat.cat/2023/07/17/acord-europeu-per-garantir-un-nivell-alt-i-comu-de-ciberseguretat/" TargetMode="External"/><Relationship Id="rId5" Type="http://schemas.openxmlformats.org/officeDocument/2006/relationships/hyperlink" Target="https://www.boe.es/buscar/doc.php?id=BOE-A-2018-17989" TargetMode="External"/><Relationship Id="rId15" Type="http://schemas.openxmlformats.org/officeDocument/2006/relationships/hyperlink" Target="https://eur-lex.europa.eu/legal-content/ES/TXT/?uri=CELEX%3A32016R0679" TargetMode="External"/><Relationship Id="rId23" Type="http://schemas.openxmlformats.org/officeDocument/2006/relationships/hyperlink" Target="https://fonseuropeus.gencat.cat/ca/ris3cat/2030/index.html" TargetMode="External"/><Relationship Id="rId28" Type="http://schemas.openxmlformats.org/officeDocument/2006/relationships/hyperlink" Target="https://www.accio.gencat.cat/ca/sectors/tic/index.html" TargetMode="External"/><Relationship Id="rId10" Type="http://schemas.openxmlformats.org/officeDocument/2006/relationships/hyperlink" Target="https://environment.ec.europa.eu/topics/circular-economy/eu-ecolabel-home/product-groups-and-criteria_en" TargetMode="External"/><Relationship Id="rId19" Type="http://schemas.openxmlformats.org/officeDocument/2006/relationships/hyperlink" Target="https://www.pimec.org/ca/pimes-autonoms/serveis/medi-ambient-responsabilitat-social-corporativa/codi-etic-conducta" TargetMode="External"/><Relationship Id="rId31" Type="http://schemas.openxmlformats.org/officeDocument/2006/relationships/printerSettings" Target="../printerSettings/printerSettings15.bin"/><Relationship Id="rId4" Type="http://schemas.openxmlformats.org/officeDocument/2006/relationships/hyperlink" Target="https://finance.ec.europa.eu/capital-markets-union-and-financial-markets/company-reporting-and-auditing/company-reporting/corporate-sustainability-reporting_en" TargetMode="External"/><Relationship Id="rId9" Type="http://schemas.openxmlformats.org/officeDocument/2006/relationships/hyperlink" Target="https://www.boe.es/buscar/doc.php?id=BOE-A-2020-12214" TargetMode="External"/><Relationship Id="rId14" Type="http://schemas.openxmlformats.org/officeDocument/2006/relationships/hyperlink" Target="https://www.iso.org/standard/71164.html" TargetMode="External"/><Relationship Id="rId22" Type="http://schemas.openxmlformats.org/officeDocument/2006/relationships/hyperlink" Target="https://canalempresa.gencat.cat/ca/01_que_voleu_fer/mesuresempresesiautonoms/mesures-economiques-i-socials-per-a-empreses-i-autonoms/ajuts-i-prestacions-per-empreses-i-autonoms/digitalitzacio-i-teletreball-per-a-pimes-i-autonoms/index.html" TargetMode="External"/><Relationship Id="rId27" Type="http://schemas.openxmlformats.org/officeDocument/2006/relationships/hyperlink" Target="https://apdcat.gencat.cat/ca/sala_de_premsa/notes_premsa/noticia/Recomanacio-ChatGPT" TargetMode="External"/><Relationship Id="rId30" Type="http://schemas.openxmlformats.org/officeDocument/2006/relationships/hyperlink" Target="https://residus.gencat.cat/ca/consultes_i_tramits_-_nou/normativa/"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iso.org/standard/63026.html" TargetMode="External"/><Relationship Id="rId13" Type="http://schemas.openxmlformats.org/officeDocument/2006/relationships/hyperlink" Target="https://www.boe.es/buscar/doc.php?id=BOE-A-2018-17989" TargetMode="External"/><Relationship Id="rId18" Type="http://schemas.openxmlformats.org/officeDocument/2006/relationships/hyperlink" Target="https://mediambient.gencat.cat/ca/05_ambits_dactuacio/empresa_i_produccio_sostenible/sistemes_de_gestio/sistemes_de_gestio_ambiental_iso_14001_i_emas/emas/index.html" TargetMode="External"/><Relationship Id="rId26" Type="http://schemas.openxmlformats.org/officeDocument/2006/relationships/hyperlink" Target="https://cido.diba.cat/legislacio/12275944/acord-gov1452021-de-21-de-setembre-pel-qual-saprova-la-politica-de-ciberseguretat-de-la-generalitat-de-catalunya-departament-de-la-vicepresidencia-i-de-politiques-digitals-i-territori" TargetMode="External"/><Relationship Id="rId39" Type="http://schemas.openxmlformats.org/officeDocument/2006/relationships/printerSettings" Target="../printerSettings/printerSettings16.bin"/><Relationship Id="rId3" Type="http://schemas.openxmlformats.org/officeDocument/2006/relationships/hyperlink" Target="https://eur-lex.europa.eu/legal-content/ES/TXT/PDF/?uri=CELEX:32016R0679" TargetMode="External"/><Relationship Id="rId21" Type="http://schemas.openxmlformats.org/officeDocument/2006/relationships/hyperlink" Target="https://eur-lex.europa.eu/legal-content/ES/TXT/?uri=CELEX%3A32022L2464" TargetMode="External"/><Relationship Id="rId34"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serveis/edificis_d_us_d_oficines_250/index.html" TargetMode="External"/><Relationship Id="rId7" Type="http://schemas.openxmlformats.org/officeDocument/2006/relationships/hyperlink" Target="https://environment.ec.europa.eu/topics/circular-economy/eu-ecolabel-home/product-groups-and-criteria_en" TargetMode="External"/><Relationship Id="rId12" Type="http://schemas.openxmlformats.org/officeDocument/2006/relationships/hyperlink" Target="https://finance.ec.europa.eu/capital-markets-union-and-financial-markets/company-reporting-and-auditing/company-reporting/corporate-sustainability-reporting_en" TargetMode="External"/><Relationship Id="rId17" Type="http://schemas.openxmlformats.org/officeDocument/2006/relationships/hyperlink" Target="https://www.boe.es/buscar/act.php?id=BOE-A-2022-5809" TargetMode="External"/><Relationship Id="rId25" Type="http://schemas.openxmlformats.org/officeDocument/2006/relationships/hyperlink" Target="https://apdcat.gencat.cat/ca/documentacio/guies_basiques/" TargetMode="External"/><Relationship Id="rId33"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serveis/edificis_d_us_d_oficines_250/index.html" TargetMode="External"/><Relationship Id="rId38" Type="http://schemas.openxmlformats.org/officeDocument/2006/relationships/hyperlink" Target="https://residus.gencat.cat/ca/consultes_i_tramits_-_nou/normativa/" TargetMode="External"/><Relationship Id="rId2" Type="http://schemas.openxmlformats.org/officeDocument/2006/relationships/hyperlink" Target="https://www.boe.es/buscar/doc.php?id=BOE-A-2018-17989" TargetMode="External"/><Relationship Id="rId16" Type="http://schemas.openxmlformats.org/officeDocument/2006/relationships/hyperlink" Target="https://www.boe.es/buscar/doc.php?id=BOE-A-2020-12214" TargetMode="External"/><Relationship Id="rId20" Type="http://schemas.openxmlformats.org/officeDocument/2006/relationships/hyperlink" Target="https://www.pimec.org/ca/pimes-autonoms/serveis/medi-ambient-responsabilitat-social-corporativa/codi-etic-conducta" TargetMode="External"/><Relationship Id="rId29" Type="http://schemas.openxmlformats.org/officeDocument/2006/relationships/hyperlink" Target="https://fonseuropeus.gencat.cat/ca/ris3cat/2030/index.html" TargetMode="External"/><Relationship Id="rId1" Type="http://schemas.openxmlformats.org/officeDocument/2006/relationships/hyperlink" Target="https://ec.europa.eu/finance/docs/level-2-measures/csrd-delegated-act-2023-5303-annex-1_en.pdf" TargetMode="External"/><Relationship Id="rId6" Type="http://schemas.openxmlformats.org/officeDocument/2006/relationships/hyperlink" Target="https://www.iso.org/standard/71164.html" TargetMode="External"/><Relationship Id="rId11" Type="http://schemas.openxmlformats.org/officeDocument/2006/relationships/hyperlink" Target="https://www.iso.org/iso-14001-environmental-management.html" TargetMode="External"/><Relationship Id="rId24" Type="http://schemas.openxmlformats.org/officeDocument/2006/relationships/hyperlink" Target="https://serveiocupacio.gencat.cat/ca/soc/qui-som-que-fem/estrategia-ocupacio/estrategia-catalana-ocupacio-qualitat-2022-2027/index.html" TargetMode="External"/><Relationship Id="rId32" Type="http://schemas.openxmlformats.org/officeDocument/2006/relationships/hyperlink" Target="https://mediambient.gencat.cat/web/.content/home/ambits_dactuacio/empresa_i_produccio_sostenible/ecoproductes_i_ecoserveis/esdeveniments-sostenibles/GENCAT-ESDEVENIMENTS_V.9-9-acces.pdf" TargetMode="External"/><Relationship Id="rId37" Type="http://schemas.openxmlformats.org/officeDocument/2006/relationships/hyperlink" Target="https://mediambient.gencat.cat/ca/05_ambits_dactuacio/empresa_i_produccio_sostenible/economia_verda/catalunya_circular/" TargetMode="External"/><Relationship Id="rId5" Type="http://schemas.openxmlformats.org/officeDocument/2006/relationships/hyperlink" Target="https://fundaciondiversidad.com/es/diversity-charter/" TargetMode="External"/><Relationship Id="rId15" Type="http://schemas.openxmlformats.org/officeDocument/2006/relationships/hyperlink" Target="https://eippcb.jrc.ec.europa.eu/sites/default/files/2021-09/ENE_Adopted_02-2009corrected20210914.pdf" TargetMode="External"/><Relationship Id="rId23" Type="http://schemas.openxmlformats.org/officeDocument/2006/relationships/hyperlink" Target="https://dogc.gencat.cat/ca/document-del-dogc/?documentId=966011" TargetMode="External"/><Relationship Id="rId28" Type="http://schemas.openxmlformats.org/officeDocument/2006/relationships/hyperlink" Target="https://canalempresa.gencat.cat/ca/01_que_voleu_fer/mesuresempresesiautonoms/mesures-economiques-i-socials-per-a-empreses-i-autonoms/ajuts-i-prestacions-per-empreses-i-autonoms/digitalitzacio-i-teletreball-per-a-pimes-i-autonoms/index.html" TargetMode="External"/><Relationship Id="rId36"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serveis/establiments_acabat_fotografic_180/index.html" TargetMode="External"/><Relationship Id="rId10" Type="http://schemas.openxmlformats.org/officeDocument/2006/relationships/hyperlink" Target="https://www.iso.org/iso-9001-quality-management.html" TargetMode="External"/><Relationship Id="rId19" Type="http://schemas.openxmlformats.org/officeDocument/2006/relationships/hyperlink" Target="https://act.gencat.cat/wp-content/uploads/2019/05/CAT-ACT-POL%C3%8DTICA-DE-PRIVACITAT.pdf" TargetMode="External"/><Relationship Id="rId31" Type="http://schemas.openxmlformats.org/officeDocument/2006/relationships/hyperlink" Target="https://canviclimatic.gencat.cat/ca/oficina/index.html" TargetMode="External"/><Relationship Id="rId4" Type="http://schemas.openxmlformats.org/officeDocument/2006/relationships/hyperlink" Target="https://ciberseguretat.gencat.cat/ca/funcio-i-serveis/proteccio-i-prevencio/" TargetMode="External"/><Relationship Id="rId9" Type="http://schemas.openxmlformats.org/officeDocument/2006/relationships/hyperlink" Target="https://www.apd.es/importancia-del-capital-humano-en-una-empresa/" TargetMode="External"/><Relationship Id="rId14" Type="http://schemas.openxmlformats.org/officeDocument/2006/relationships/hyperlink" Target="https://www.globalreporting.org/standards/download-the-standards/" TargetMode="External"/><Relationship Id="rId22" Type="http://schemas.openxmlformats.org/officeDocument/2006/relationships/hyperlink" Target="https://treball.gencat.cat/ca/ambits/seguretat_i_salut_laboral/ci_/pla-govern/" TargetMode="External"/><Relationship Id="rId27" Type="http://schemas.openxmlformats.org/officeDocument/2006/relationships/hyperlink" Target="https://govern.cat/gov/pla-govern?eix=0&amp;ambit=1" TargetMode="External"/><Relationship Id="rId30" Type="http://schemas.openxmlformats.org/officeDocument/2006/relationships/hyperlink" Target="https://ghgprotocol.org/" TargetMode="External"/><Relationship Id="rId35" Type="http://schemas.openxmlformats.org/officeDocument/2006/relationships/hyperlink" Target="https://mediambient.gencat.cat/ca/05_ambits_dactuacio/empresa_i_produccio_sostenible/ecoproductes_i_ecoserveis/etiquetatge_ecologic_i_declaracions_ambientals_de_producte/distintiu_de_garantia_de_qualitat_ambiental/categories_i_sol_licituds/serveis/xarxes_oficines_240/index.html"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finance.ec.europa.eu/capital-markets-union-and-financial-markets/company-reporting-and-auditing/company-reporting/corporate-sustainability-reporting_en" TargetMode="External"/><Relationship Id="rId13" Type="http://schemas.openxmlformats.org/officeDocument/2006/relationships/hyperlink" Target="https://www.boe.es/buscar/act.php?id=BOE-A-2022-5809" TargetMode="External"/><Relationship Id="rId18" Type="http://schemas.openxmlformats.org/officeDocument/2006/relationships/hyperlink" Target="https://eur-lex.europa.eu/legal-content/ES/TXT/PDF/?uri=CELEX:32020R0852" TargetMode="External"/><Relationship Id="rId26" Type="http://schemas.openxmlformats.org/officeDocument/2006/relationships/hyperlink" Target="https://dogc.gencat.cat/ca/document-del-dogc/?documentId=966011" TargetMode="External"/><Relationship Id="rId3" Type="http://schemas.openxmlformats.org/officeDocument/2006/relationships/hyperlink" Target="https://breeam.es/manuales-tecnicos/" TargetMode="External"/><Relationship Id="rId21" Type="http://schemas.openxmlformats.org/officeDocument/2006/relationships/hyperlink" Target="https://eur-lex.europa.eu/legal-content/ES/TXT/?uri=CELEX%3A32021R2139" TargetMode="External"/><Relationship Id="rId7" Type="http://schemas.openxmlformats.org/officeDocument/2006/relationships/hyperlink" Target="https://www.iso.org/iso-14001-environmental-management.html" TargetMode="External"/><Relationship Id="rId12" Type="http://schemas.openxmlformats.org/officeDocument/2006/relationships/hyperlink" Target="https://www.boe.es/buscar/doc.php?id=BOE-A-2020-12214" TargetMode="External"/><Relationship Id="rId17" Type="http://schemas.openxmlformats.org/officeDocument/2006/relationships/hyperlink" Target="https://act.gencat.cat/wp-content/uploads/2019/05/CAT-ACT-POL%C3%8DTICA-DE-PRIVACITAT.pdf" TargetMode="External"/><Relationship Id="rId25" Type="http://schemas.openxmlformats.org/officeDocument/2006/relationships/hyperlink" Target="https://serveiocupacio.gencat.cat/ca/soc/qui-som-que-fem/estrategia-ocupacio/estrategia-catalana-ocupacio-qualitat-2022-2027/index.html" TargetMode="External"/><Relationship Id="rId33" Type="http://schemas.openxmlformats.org/officeDocument/2006/relationships/printerSettings" Target="../printerSettings/printerSettings17.bin"/><Relationship Id="rId2" Type="http://schemas.openxmlformats.org/officeDocument/2006/relationships/hyperlink" Target="http://agendaurbanacatalunya.cat/lagenda/" TargetMode="External"/><Relationship Id="rId16" Type="http://schemas.openxmlformats.org/officeDocument/2006/relationships/hyperlink" Target="https://environment.ec.europa.eu/topics/circular-economy/eu-ecolabel-home/product-groups-and-criteria_en" TargetMode="External"/><Relationship Id="rId20" Type="http://schemas.openxmlformats.org/officeDocument/2006/relationships/hyperlink" Target="https://www.pimec.org/ca/pimes-autonoms/serveis/medi-ambient-responsabilitat-social-corporativa/codi-etic-conducta" TargetMode="External"/><Relationship Id="rId29" Type="http://schemas.openxmlformats.org/officeDocument/2006/relationships/hyperlink" Target="https://habitatge.gencat.cat/ca/ambits/pla-territorial-sectorial-dhabitatge/" TargetMode="External"/><Relationship Id="rId1" Type="http://schemas.openxmlformats.org/officeDocument/2006/relationships/hyperlink" Target="https://web.gencat.cat/ca/tramits/tramits-temes/Certificacio-eficiencia-energetica-edificis-00002" TargetMode="External"/><Relationship Id="rId6" Type="http://schemas.openxmlformats.org/officeDocument/2006/relationships/hyperlink" Target="https://www.iso.org/iso-9001-quality-management.html" TargetMode="External"/><Relationship Id="rId11" Type="http://schemas.openxmlformats.org/officeDocument/2006/relationships/hyperlink" Target="https://ghgprotocol.org/" TargetMode="External"/><Relationship Id="rId24" Type="http://schemas.openxmlformats.org/officeDocument/2006/relationships/hyperlink" Target="https://treball.gencat.cat/ca/ambits/seguretat_i_salut_laboral/ci_/pla-govern/" TargetMode="External"/><Relationship Id="rId32" Type="http://schemas.openxmlformats.org/officeDocument/2006/relationships/hyperlink" Target="https://residus.gencat.cat/ca/consultes_i_tramits_-_nou/normativa/" TargetMode="External"/><Relationship Id="rId5" Type="http://schemas.openxmlformats.org/officeDocument/2006/relationships/hyperlink" Target="https://gbce.es/" TargetMode="External"/><Relationship Id="rId15" Type="http://schemas.openxmlformats.org/officeDocument/2006/relationships/hyperlink" Target="https://mediambient.gencat.cat/ca/05_ambits_dactuacio/empresa_i_produccio_sostenible/sistemes_de_gestio/sistemes_de_gestio_ambiental_iso_14001_i_emas/emas/index.html" TargetMode="External"/><Relationship Id="rId23" Type="http://schemas.openxmlformats.org/officeDocument/2006/relationships/hyperlink" Target="https://eur-lex.europa.eu/legal-content/ES/TXT/PDF/?uri=CELEX:32020R0852" TargetMode="External"/><Relationship Id="rId28" Type="http://schemas.openxmlformats.org/officeDocument/2006/relationships/hyperlink" Target="https://treball.gencat.cat/web/.content/09_-_seguretat_i_salut_laboral/publicacions/imatges/CODI-BONES-PRACTIQUES-PROMOCIO-EXECUCIO-OBRES-CONSTRUCCIO.pdf" TargetMode="External"/><Relationship Id="rId10" Type="http://schemas.openxmlformats.org/officeDocument/2006/relationships/hyperlink" Target="https://www.globalreporting.org/standards/download-the-standards/" TargetMode="External"/><Relationship Id="rId19" Type="http://schemas.openxmlformats.org/officeDocument/2006/relationships/hyperlink" Target="https://www.pactomundial.org/wp-content/uploads/2021/10/Codigo_conducta_proveedores.pdf" TargetMode="External"/><Relationship Id="rId31" Type="http://schemas.openxmlformats.org/officeDocument/2006/relationships/hyperlink" Target="https://mediambient.gencat.cat/ca/05_ambits_dactuacio/empresa_i_produccio_sostenible/economia_verda/catalunya_circular/" TargetMode="External"/><Relationship Id="rId4" Type="http://schemas.openxmlformats.org/officeDocument/2006/relationships/hyperlink" Target="https://www.usgbc.org/leed" TargetMode="External"/><Relationship Id="rId9" Type="http://schemas.openxmlformats.org/officeDocument/2006/relationships/hyperlink" Target="https://www.boe.es/buscar/doc.php?id=BOE-A-2018-17989" TargetMode="External"/><Relationship Id="rId14" Type="http://schemas.openxmlformats.org/officeDocument/2006/relationships/hyperlink" Target="https://www.iso.org/standard/63026.html" TargetMode="External"/><Relationship Id="rId22" Type="http://schemas.openxmlformats.org/officeDocument/2006/relationships/hyperlink" Target="https://eur-lex.europa.eu/legal-content/ES/TXT/?uri=CELEX%3A32021R2139" TargetMode="External"/><Relationship Id="rId27" Type="http://schemas.openxmlformats.org/officeDocument/2006/relationships/hyperlink" Target="https://govern.cat/gov/pla-govern?eix=0&amp;ambit=1" TargetMode="External"/><Relationship Id="rId30" Type="http://schemas.openxmlformats.org/officeDocument/2006/relationships/hyperlink" Target="https://habitatge.gencat.cat/ca/ambits/control_qualitat_de_ledificacio/"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iso.org/iso-14001-environmental-management.html" TargetMode="External"/><Relationship Id="rId13" Type="http://schemas.openxmlformats.org/officeDocument/2006/relationships/hyperlink" Target="https://www.aecoc.es/servicios/leangreen-espana/" TargetMode="External"/><Relationship Id="rId18" Type="http://schemas.openxmlformats.org/officeDocument/2006/relationships/hyperlink" Target="https://www.pimec.org/ca/pimes-autonoms/serveis/medi-ambient-responsabilitat-social-corporativa/codi-etic-conducta" TargetMode="External"/><Relationship Id="rId26" Type="http://schemas.openxmlformats.org/officeDocument/2006/relationships/hyperlink" Target="https://www.apd.es/importancia-del-capital-humano-en-una-empresa/" TargetMode="External"/><Relationship Id="rId3" Type="http://schemas.openxmlformats.org/officeDocument/2006/relationships/hyperlink" Target="https://xtec.gencat.cat/ca/curriculum/diversitat-i-inclusio/" TargetMode="External"/><Relationship Id="rId21" Type="http://schemas.openxmlformats.org/officeDocument/2006/relationships/hyperlink" Target="https://govern.cat/gov/pla-govern?eix=0&amp;ambit=1" TargetMode="External"/><Relationship Id="rId7" Type="http://schemas.openxmlformats.org/officeDocument/2006/relationships/hyperlink" Target="https://www.iso.org/iso-9001-quality-management.html" TargetMode="External"/><Relationship Id="rId12" Type="http://schemas.openxmlformats.org/officeDocument/2006/relationships/hyperlink" Target="https://ghgprotocol.org/" TargetMode="External"/><Relationship Id="rId17" Type="http://schemas.openxmlformats.org/officeDocument/2006/relationships/hyperlink" Target="https://act.gencat.cat/wp-content/uploads/2019/05/CAT-ACT-POL%C3%8DTICA-DE-PRIVACITAT.pdf" TargetMode="External"/><Relationship Id="rId25" Type="http://schemas.openxmlformats.org/officeDocument/2006/relationships/hyperlink" Target="https://elhub.cat/" TargetMode="External"/><Relationship Id="rId2" Type="http://schemas.openxmlformats.org/officeDocument/2006/relationships/hyperlink" Target="https://eur-lex.europa.eu/legal-content/ES/TXT/PDF/?uri=CELEX:52023PC0166" TargetMode="External"/><Relationship Id="rId16" Type="http://schemas.openxmlformats.org/officeDocument/2006/relationships/hyperlink" Target="https://mediambient.gencat.cat/ca/05_ambits_dactuacio/empresa_i_produccio_sostenible/sistemes_de_gestio/sistemes_de_gestio_ambiental_iso_14001_i_emas/emas/index.html" TargetMode="External"/><Relationship Id="rId20" Type="http://schemas.openxmlformats.org/officeDocument/2006/relationships/hyperlink" Target="https://dogc.gencat.cat/ca/document-del-dogc/?documentId=966011" TargetMode="External"/><Relationship Id="rId29" Type="http://schemas.openxmlformats.org/officeDocument/2006/relationships/hyperlink" Target="https://mediambient.gencat.cat/ca/05_ambits_dactuacio/empresa_i_produccio_sostenible/economia_verda/catalunya_circular/" TargetMode="External"/><Relationship Id="rId1" Type="http://schemas.openxmlformats.org/officeDocument/2006/relationships/hyperlink" Target="https://eur-lex.europa.eu/legal-content/ES/TXT/?uri=CELEX:32005L0029" TargetMode="External"/><Relationship Id="rId6" Type="http://schemas.openxmlformats.org/officeDocument/2006/relationships/hyperlink" Target="https://icaen.gencat.cat/ca/energia/ajuts/energies-renovables/" TargetMode="External"/><Relationship Id="rId11" Type="http://schemas.openxmlformats.org/officeDocument/2006/relationships/hyperlink" Target="https://www.globalreporting.org/standards/download-the-standards/" TargetMode="External"/><Relationship Id="rId24" Type="http://schemas.openxmlformats.org/officeDocument/2006/relationships/hyperlink" Target="https://governobert.gencat.cat/ca/detalls/noticia/nou-cataleg-publicitat-activa" TargetMode="External"/><Relationship Id="rId5" Type="http://schemas.openxmlformats.org/officeDocument/2006/relationships/hyperlink" Target="https://www.iso.org/standard/63026.html" TargetMode="External"/><Relationship Id="rId15" Type="http://schemas.openxmlformats.org/officeDocument/2006/relationships/hyperlink" Target="https://www.boe.es/buscar/act.php?id=BOE-A-2022-5809" TargetMode="External"/><Relationship Id="rId23" Type="http://schemas.openxmlformats.org/officeDocument/2006/relationships/hyperlink" Target="https://dones.gencat.cat/ca/ambits/mitjans-comunicacio/recomanacions-publicitat-igualitaria/" TargetMode="External"/><Relationship Id="rId28" Type="http://schemas.openxmlformats.org/officeDocument/2006/relationships/hyperlink" Target="https://mediambient.gencat.cat/web/.content/home/ambits_dactuacio/empresa_i_produccio_sostenible/ecoproductes_i_ecoserveis/esdeveniments-sostenibles/GENCAT-ESDEVENIMENTS_V.9-9-acces.pdf" TargetMode="External"/><Relationship Id="rId10" Type="http://schemas.openxmlformats.org/officeDocument/2006/relationships/hyperlink" Target="https://www.boe.es/buscar/doc.php?id=BOE-A-2018-17989" TargetMode="External"/><Relationship Id="rId19" Type="http://schemas.openxmlformats.org/officeDocument/2006/relationships/hyperlink" Target="https://treball.gencat.cat/ca/ambits/seguretat_i_salut_laboral/ci_/pla-govern/" TargetMode="External"/><Relationship Id="rId31" Type="http://schemas.openxmlformats.org/officeDocument/2006/relationships/printerSettings" Target="../printerSettings/printerSettings18.bin"/><Relationship Id="rId4" Type="http://schemas.openxmlformats.org/officeDocument/2006/relationships/hyperlink" Target="https://environment.ec.europa.eu/topics/circular-economy/eu-ecolabel-home/product-groups-and-criteria_en" TargetMode="External"/><Relationship Id="rId9" Type="http://schemas.openxmlformats.org/officeDocument/2006/relationships/hyperlink" Target="https://finance.ec.europa.eu/capital-markets-union-and-financial-markets/company-reporting-and-auditing/company-reporting/corporate-sustainability-reporting_en" TargetMode="External"/><Relationship Id="rId14" Type="http://schemas.openxmlformats.org/officeDocument/2006/relationships/hyperlink" Target="https://www.boe.es/buscar/doc.php?id=BOE-A-2020-12214" TargetMode="External"/><Relationship Id="rId22" Type="http://schemas.openxmlformats.org/officeDocument/2006/relationships/hyperlink" Target="https://triaeducativa.gencat.cat/ca/fp/families-professionals/comerc-marqueting/index.html" TargetMode="External"/><Relationship Id="rId27" Type="http://schemas.openxmlformats.org/officeDocument/2006/relationships/hyperlink" Target="https://canviclimatic.gencat.cat/ca/oficina/index.html" TargetMode="External"/><Relationship Id="rId30" Type="http://schemas.openxmlformats.org/officeDocument/2006/relationships/hyperlink" Target="https://residus.gencat.cat/ca/consultes_i_tramits_-_nou/normativa/"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finance.ec.europa.eu/capital-markets-union-and-financial-markets/company-reporting-and-auditing/company-reporting/corporate-sustainability-reporting_en" TargetMode="External"/><Relationship Id="rId13" Type="http://schemas.openxmlformats.org/officeDocument/2006/relationships/hyperlink" Target="https://act.gencat.cat/wp-content/uploads/2019/05/CAT-ACT-POL%C3%8DTICA-DE-PRIVACITAT.pdf" TargetMode="External"/><Relationship Id="rId18" Type="http://schemas.openxmlformats.org/officeDocument/2006/relationships/hyperlink" Target="https://dogc.gencat.cat/ca/document-del-dogc/?documentId=966011" TargetMode="External"/><Relationship Id="rId26" Type="http://schemas.openxmlformats.org/officeDocument/2006/relationships/hyperlink" Target="https://governobert.gencat.cat/ca/detalls/noticia/guia_plansinterdepartamentals" TargetMode="External"/><Relationship Id="rId3" Type="http://schemas.openxmlformats.org/officeDocument/2006/relationships/hyperlink" Target="https://environment.ec.europa.eu/topics/circular-economy/eu-ecolabel-home/product-groups-and-criteria_en" TargetMode="External"/><Relationship Id="rId21" Type="http://schemas.openxmlformats.org/officeDocument/2006/relationships/hyperlink" Target="https://canalempresa.gencat.cat/ca/01_que_voleu_fer/mesuresempresesiautonoms/mesures-economiques-i-socials-per-a-empreses-i-autonoms/ajuts-i-prestacions-per-empreses-i-autonoms/digitalitzacio-i-teletreball-per-a-pimes-i-autonoms/index.html" TargetMode="External"/><Relationship Id="rId7" Type="http://schemas.openxmlformats.org/officeDocument/2006/relationships/hyperlink" Target="https://www.iso.org/iso-14001-environmental-management.html" TargetMode="External"/><Relationship Id="rId12" Type="http://schemas.openxmlformats.org/officeDocument/2006/relationships/hyperlink" Target="https://mediambient.gencat.cat/ca/05_ambits_dactuacio/empresa_i_produccio_sostenible/sistemes_de_gestio/sistemes_de_gestio_ambiental_iso_14001_i_emas/emas/index.html" TargetMode="External"/><Relationship Id="rId17" Type="http://schemas.openxmlformats.org/officeDocument/2006/relationships/hyperlink" Target="https://treball.gencat.cat/ca/ambits/seguretat_i_salut_laboral/ci_/pla-govern/" TargetMode="External"/><Relationship Id="rId25" Type="http://schemas.openxmlformats.org/officeDocument/2006/relationships/hyperlink" Target="https://canviclimatic.gencat.cat/ca/oficina/index.html" TargetMode="External"/><Relationship Id="rId2" Type="http://schemas.openxmlformats.org/officeDocument/2006/relationships/hyperlink" Target="https://www.iso.org/standard/71164.html" TargetMode="External"/><Relationship Id="rId16" Type="http://schemas.openxmlformats.org/officeDocument/2006/relationships/hyperlink" Target="https://xtec.gencat.cat/ca/curriculum/diversitat-i-inclusio/" TargetMode="External"/><Relationship Id="rId20" Type="http://schemas.openxmlformats.org/officeDocument/2006/relationships/hyperlink" Target="https://govern.cat/gov/pla-govern?eix=0&amp;ambit=1" TargetMode="External"/><Relationship Id="rId29" Type="http://schemas.openxmlformats.org/officeDocument/2006/relationships/hyperlink" Target="https://residus.gencat.cat/ca/consultes_i_tramits_-_nou/normativa/" TargetMode="External"/><Relationship Id="rId1" Type="http://schemas.openxmlformats.org/officeDocument/2006/relationships/hyperlink" Target="https://serveiocupacio.gencat.cat/es/persones/vull-formar-me/cercadors-formacio-especialitats/index.html" TargetMode="External"/><Relationship Id="rId6" Type="http://schemas.openxmlformats.org/officeDocument/2006/relationships/hyperlink" Target="https://www.iso.org/iso-9001-quality-management.html" TargetMode="External"/><Relationship Id="rId11" Type="http://schemas.openxmlformats.org/officeDocument/2006/relationships/hyperlink" Target="https://www.boe.es/buscar/doc.php?id=BOE-A-2020-12214" TargetMode="External"/><Relationship Id="rId24" Type="http://schemas.openxmlformats.org/officeDocument/2006/relationships/hyperlink" Target="https://ghgprotocol.org/" TargetMode="External"/><Relationship Id="rId5" Type="http://schemas.openxmlformats.org/officeDocument/2006/relationships/hyperlink" Target="https://eur-lex.europa.eu/legal-content/EN/TXT/?uri=CELEX%3A32016R0679" TargetMode="External"/><Relationship Id="rId15" Type="http://schemas.openxmlformats.org/officeDocument/2006/relationships/hyperlink" Target="https://www.pimec.org/ca/pimes-autonoms/serveis/medi-ambient-responsabilitat-social-corporativa/codi-etic-conducta" TargetMode="External"/><Relationship Id="rId23" Type="http://schemas.openxmlformats.org/officeDocument/2006/relationships/hyperlink" Target="https://serveiocupacio.gencat.cat/ca/soc/qui-som-que-fem/estrategia-ocupacio/estrategia-catalana-ocupacio-qualitat-2022-2027/index.html" TargetMode="External"/><Relationship Id="rId28" Type="http://schemas.openxmlformats.org/officeDocument/2006/relationships/hyperlink" Target="https://www.boe.es/buscar/act.php?id=BOE-A-2022-5809" TargetMode="External"/><Relationship Id="rId10" Type="http://schemas.openxmlformats.org/officeDocument/2006/relationships/hyperlink" Target="https://www.globalreporting.org/standards/download-the-standards/" TargetMode="External"/><Relationship Id="rId19" Type="http://schemas.openxmlformats.org/officeDocument/2006/relationships/hyperlink" Target="https://serveiocupacio.gencat.cat/ca/soc/qui-som-que-fem/fons-social-europeu/programes-operatius-2021-2027/Programa-FSE-Catalunya-2021-2027/index.html" TargetMode="External"/><Relationship Id="rId4" Type="http://schemas.openxmlformats.org/officeDocument/2006/relationships/hyperlink" Target="https://www.iso.org/standard/63026.html" TargetMode="External"/><Relationship Id="rId9" Type="http://schemas.openxmlformats.org/officeDocument/2006/relationships/hyperlink" Target="https://www.boe.es/buscar/doc.php?id=BOE-A-2018-17989" TargetMode="External"/><Relationship Id="rId14" Type="http://schemas.openxmlformats.org/officeDocument/2006/relationships/hyperlink" Target="https://www.pactomundial.org/wp-content/uploads/2021/10/Codigo_conducta_proveedores.pdf" TargetMode="External"/><Relationship Id="rId22" Type="http://schemas.openxmlformats.org/officeDocument/2006/relationships/hyperlink" Target="https://serveiocupacio.gencat.cat/ca/soc/qui-som-que-fem/estrategia-ocupacio/pla-desenvolupament-politiques-ocupacio-catalunya-pdpo/index.html" TargetMode="External"/><Relationship Id="rId27" Type="http://schemas.openxmlformats.org/officeDocument/2006/relationships/hyperlink" Target="https://mediambient.gencat.cat/ca/05_ambits_dactuacio/empresa_i_produccio_sostenible/economia_verda/catalunya_circular/" TargetMode="External"/><Relationship Id="rId30"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8" Type="http://schemas.openxmlformats.org/officeDocument/2006/relationships/hyperlink" Target="https://www.iso.org/iso-14001-environmental-management.html" TargetMode="External"/><Relationship Id="rId13" Type="http://schemas.openxmlformats.org/officeDocument/2006/relationships/hyperlink" Target="https://www.boe.es/buscar/doc.php?id=BOE-A-2020-12214" TargetMode="External"/><Relationship Id="rId18" Type="http://schemas.openxmlformats.org/officeDocument/2006/relationships/hyperlink" Target="https://act.gencat.cat/wp-content/uploads/2019/05/CAT-ACT-POL%C3%8DTICA-DE-PRIVACITAT.pdf" TargetMode="External"/><Relationship Id="rId26" Type="http://schemas.openxmlformats.org/officeDocument/2006/relationships/hyperlink" Target="https://www.aecoc.es/servicios/leangreen-espana/" TargetMode="External"/><Relationship Id="rId3" Type="http://schemas.openxmlformats.org/officeDocument/2006/relationships/hyperlink" Target="https://mediambient.gencat.cat/ca/05_ambits_dactuacio/educacio_i_sostenibilitat/educacio_per_a_la_sostenibilitat/" TargetMode="External"/><Relationship Id="rId21" Type="http://schemas.openxmlformats.org/officeDocument/2006/relationships/hyperlink" Target="https://educacio.gencat.cat/ca/arees-actuacio/professors/altres/programa-benestar-emocional/index.html" TargetMode="External"/><Relationship Id="rId7" Type="http://schemas.openxmlformats.org/officeDocument/2006/relationships/hyperlink" Target="https://www.iso.org/iso-9001-quality-management.html" TargetMode="External"/><Relationship Id="rId12" Type="http://schemas.openxmlformats.org/officeDocument/2006/relationships/hyperlink" Target="https://ghgprotocol.org/" TargetMode="External"/><Relationship Id="rId17" Type="http://schemas.openxmlformats.org/officeDocument/2006/relationships/hyperlink" Target="https://environment.ec.europa.eu/topics/circular-economy/eu-ecolabel-home/product-groups-and-criteria_en" TargetMode="External"/><Relationship Id="rId25" Type="http://schemas.openxmlformats.org/officeDocument/2006/relationships/hyperlink" Target="https://govern.cat/gov/pla-govern?eix=0&amp;ambit=1" TargetMode="External"/><Relationship Id="rId2" Type="http://schemas.openxmlformats.org/officeDocument/2006/relationships/hyperlink" Target="http://www.ecoescuelas.org/" TargetMode="External"/><Relationship Id="rId16" Type="http://schemas.openxmlformats.org/officeDocument/2006/relationships/hyperlink" Target="https://mediambient.gencat.cat/ca/05_ambits_dactuacio/empresa_i_produccio_sostenible/sistemes_de_gestio/sistemes_de_gestio_ambiental_iso_14001_i_emas/emas/index.html" TargetMode="External"/><Relationship Id="rId20" Type="http://schemas.openxmlformats.org/officeDocument/2006/relationships/hyperlink" Target="https://triaeducativa.gencat.cat/ca/inici" TargetMode="External"/><Relationship Id="rId29" Type="http://schemas.openxmlformats.org/officeDocument/2006/relationships/hyperlink" Target="https://governobert.gencat.cat/ca/detalls/noticia/guia_plansinterdepartamentals" TargetMode="External"/><Relationship Id="rId1" Type="http://schemas.openxmlformats.org/officeDocument/2006/relationships/hyperlink" Target="https://educacio.gencat.cat/ca/departament/linies-estrategiques/ods/catalunya2030/" TargetMode="External"/><Relationship Id="rId6" Type="http://schemas.openxmlformats.org/officeDocument/2006/relationships/hyperlink" Target="https://xtec.gencat.cat/ca/comunitat/salutescola/programasalutescola/" TargetMode="External"/><Relationship Id="rId11" Type="http://schemas.openxmlformats.org/officeDocument/2006/relationships/hyperlink" Target="https://www.globalreporting.org/standards/download-the-standards/" TargetMode="External"/><Relationship Id="rId24" Type="http://schemas.openxmlformats.org/officeDocument/2006/relationships/hyperlink" Target="https://dogc.gencat.cat/ca/document-del-dogc/?documentId=966011" TargetMode="External"/><Relationship Id="rId32" Type="http://schemas.openxmlformats.org/officeDocument/2006/relationships/printerSettings" Target="../printerSettings/printerSettings20.bin"/><Relationship Id="rId5" Type="http://schemas.openxmlformats.org/officeDocument/2006/relationships/hyperlink" Target="https://www.apd.es/importancia-del-capital-humano-en-una-empresa/" TargetMode="External"/><Relationship Id="rId15" Type="http://schemas.openxmlformats.org/officeDocument/2006/relationships/hyperlink" Target="https://www.iso.org/standard/63026.html" TargetMode="External"/><Relationship Id="rId23" Type="http://schemas.openxmlformats.org/officeDocument/2006/relationships/hyperlink" Target="https://treball.gencat.cat/ca/ambits/seguretat_i_salut_laboral/ci_/pla-govern/" TargetMode="External"/><Relationship Id="rId28" Type="http://schemas.openxmlformats.org/officeDocument/2006/relationships/hyperlink" Target="https://mediambient.gencat.cat/web/.content/home/ambits_dactuacio/empresa_i_produccio_sostenible/ecoproductes_i_ecoserveis/esdeveniments-sostenibles/GENCAT-ESDEVENIMENTS_V.9-9-acces.pdf" TargetMode="External"/><Relationship Id="rId10" Type="http://schemas.openxmlformats.org/officeDocument/2006/relationships/hyperlink" Target="https://www.boe.es/buscar/doc.php?id=BOE-A-2018-17989" TargetMode="External"/><Relationship Id="rId19" Type="http://schemas.openxmlformats.org/officeDocument/2006/relationships/hyperlink" Target="https://www.pimec.org/ca/pimes-autonoms/serveis/medi-ambient-responsabilitat-social-corporativa/codi-etic-conducta" TargetMode="External"/><Relationship Id="rId31" Type="http://schemas.openxmlformats.org/officeDocument/2006/relationships/hyperlink" Target="https://residus.gencat.cat/ca/consultes_i_tramits_-_nou/normativa/" TargetMode="External"/><Relationship Id="rId4" Type="http://schemas.openxmlformats.org/officeDocument/2006/relationships/hyperlink" Target="https://icaen.gencat.cat/ca/energia/renovables/" TargetMode="External"/><Relationship Id="rId9" Type="http://schemas.openxmlformats.org/officeDocument/2006/relationships/hyperlink" Target="https://finance.ec.europa.eu/capital-markets-union-and-financial-markets/company-reporting-and-auditing/company-reporting/corporate-sustainability-reporting_en" TargetMode="External"/><Relationship Id="rId14" Type="http://schemas.openxmlformats.org/officeDocument/2006/relationships/hyperlink" Target="https://www.boe.es/buscar/act.php?id=BOE-A-2022-5809" TargetMode="External"/><Relationship Id="rId22" Type="http://schemas.openxmlformats.org/officeDocument/2006/relationships/hyperlink" Target="https://educacio.gencat.cat/ca/serveis-tramits/ajuts-subvencions/pla-estrategic-subvencions/index.html" TargetMode="External"/><Relationship Id="rId27" Type="http://schemas.openxmlformats.org/officeDocument/2006/relationships/hyperlink" Target="https://canviclimatic.gencat.cat/ca/oficina/index.html" TargetMode="External"/><Relationship Id="rId30" Type="http://schemas.openxmlformats.org/officeDocument/2006/relationships/hyperlink" Target="https://mediambient.gencat.cat/ca/05_ambits_dactuacio/empresa_i_produccio_sostenible/economia_verda/catalunya_circular/"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c2ccertified.org/the-standard" TargetMode="External"/><Relationship Id="rId18" Type="http://schemas.openxmlformats.org/officeDocument/2006/relationships/hyperlink" Target="https://www.globalreporting.org/standards/download-the-standards/" TargetMode="External"/><Relationship Id="rId26" Type="http://schemas.openxmlformats.org/officeDocument/2006/relationships/hyperlink" Target="https://www.iso.org/standard/63026.html" TargetMode="External"/><Relationship Id="rId39" Type="http://schemas.openxmlformats.org/officeDocument/2006/relationships/hyperlink" Target="https://www.undp.org/es/argentina/publicaciones/guia-para-la-adquisicion-sostenible-de-productos-sanitarios" TargetMode="External"/><Relationship Id="rId3" Type="http://schemas.openxmlformats.org/officeDocument/2006/relationships/hyperlink" Target="https://www.sanidad.gob.es/ciudadanos/saludAmbLaboral/HuellaCarbono/docs/Huella_Carbono_en_el_Sector_Salud.pdf" TargetMode="External"/><Relationship Id="rId21" Type="http://schemas.openxmlformats.org/officeDocument/2006/relationships/hyperlink" Target="https://www.boe.es/buscar/doc.php?id=BOE-A-2020-12214" TargetMode="External"/><Relationship Id="rId34" Type="http://schemas.openxmlformats.org/officeDocument/2006/relationships/hyperlink" Target="https://www.undp.org/es/argentina/publicaciones/guia-para-la-adquisicion-sostenible-de-productos-sanitarios" TargetMode="External"/><Relationship Id="rId42" Type="http://schemas.openxmlformats.org/officeDocument/2006/relationships/hyperlink" Target="https://treball.gencat.cat/ca/ambits/seguretat_i_salut_laboral/ci_/pla-govern/" TargetMode="External"/><Relationship Id="rId47" Type="http://schemas.openxmlformats.org/officeDocument/2006/relationships/hyperlink" Target="https://mediambient.gencat.cat/ca/05_ambits_dactuacio/empresa_i_produccio_sostenible/economia_verda/catalunya_circular/" TargetMode="External"/><Relationship Id="rId7" Type="http://schemas.openxmlformats.org/officeDocument/2006/relationships/hyperlink" Target="https://www.boe.es/buscar/doc.php?id=BOE-A-2019-15228" TargetMode="External"/><Relationship Id="rId12" Type="http://schemas.openxmlformats.org/officeDocument/2006/relationships/hyperlink" Target="https://ellenmacarthurfoundation.org/es" TargetMode="External"/><Relationship Id="rId17" Type="http://schemas.openxmlformats.org/officeDocument/2006/relationships/hyperlink" Target="https://www.boe.es/buscar/doc.php?id=BOE-A-2018-17989" TargetMode="External"/><Relationship Id="rId25" Type="http://schemas.openxmlformats.org/officeDocument/2006/relationships/hyperlink" Target="https://sede.agenciatributaria.gob.es/Sede/impuestos-especiales-medioambientales/impuesto-especial-sobre-envases-plastico-reutilizables.html" TargetMode="External"/><Relationship Id="rId33" Type="http://schemas.openxmlformats.org/officeDocument/2006/relationships/hyperlink" Target="https://icaen.gencat.cat/ca/energia/renovables/" TargetMode="External"/><Relationship Id="rId38" Type="http://schemas.openxmlformats.org/officeDocument/2006/relationships/hyperlink" Target="https://catsalut.gencat.cat/ca/coneix-catsalut/acces-sistema-salut/com-accedeix/index.html" TargetMode="External"/><Relationship Id="rId46" Type="http://schemas.openxmlformats.org/officeDocument/2006/relationships/hyperlink" Target="https://governobert.gencat.cat/ca/detalls/noticia/guia_plansinterdepartamentals" TargetMode="External"/><Relationship Id="rId2" Type="http://schemas.openxmlformats.org/officeDocument/2006/relationships/hyperlink" Target="https://apdcat.gencat.cat/ca/documentacio/guies_basiques/Guies-apdcat/Guia-proteccio-de-dades-per-a-pacients/index.html" TargetMode="External"/><Relationship Id="rId16" Type="http://schemas.openxmlformats.org/officeDocument/2006/relationships/hyperlink" Target="https://finance.ec.europa.eu/capital-markets-union-and-financial-markets/company-reporting-and-auditing/company-reporting/corporate-sustainability-reporting_en" TargetMode="External"/><Relationship Id="rId20" Type="http://schemas.openxmlformats.org/officeDocument/2006/relationships/hyperlink" Target="https://eippcb.jrc.ec.europa.eu/sites/default/files/2021-09/ENE_Adopted_02-2009corrected20210914.pdf" TargetMode="External"/><Relationship Id="rId29" Type="http://schemas.openxmlformats.org/officeDocument/2006/relationships/hyperlink" Target="https://environment.ec.europa.eu/topics/circular-economy/eu-ecolabel-home/product-groups-and-criteria_en" TargetMode="External"/><Relationship Id="rId41" Type="http://schemas.openxmlformats.org/officeDocument/2006/relationships/hyperlink" Target="https://salutweb.gencat.cat/ca/departament/ambits-estrategics/recerca-innovacio/planificacio-gestio/index.html" TargetMode="External"/><Relationship Id="rId1" Type="http://schemas.openxmlformats.org/officeDocument/2006/relationships/hyperlink" Target="https://guiasostenibilitat.consorci.org/" TargetMode="External"/><Relationship Id="rId6" Type="http://schemas.openxmlformats.org/officeDocument/2006/relationships/hyperlink" Target="https://www.eseficiencia.es/2023/07/26/casi-80-entidades-sanitarias-sociales-cataluna-ejecutado-medidas-eficiencia-energetica" TargetMode="External"/><Relationship Id="rId11" Type="http://schemas.openxmlformats.org/officeDocument/2006/relationships/hyperlink" Target="https://sustainablepackaging.org/" TargetMode="External"/><Relationship Id="rId24" Type="http://schemas.openxmlformats.org/officeDocument/2006/relationships/hyperlink" Target="https://eur-lex.europa.eu/ES/legal-content/summary/single-use-plastics-fighting-the-impact-on-the-environment.html" TargetMode="External"/><Relationship Id="rId32" Type="http://schemas.openxmlformats.org/officeDocument/2006/relationships/hyperlink" Target="https://www.pactomundial.org/wp-content/uploads/2021/10/Codigo_conducta_proveedores.pdf" TargetMode="External"/><Relationship Id="rId37" Type="http://schemas.openxmlformats.org/officeDocument/2006/relationships/hyperlink" Target="https://treball.gencat.cat/ca/ambits/seguretat_i_salut_laboral/riscos_i_condicions_treball/mesures_per_risc/coronavirus/" TargetMode="External"/><Relationship Id="rId40" Type="http://schemas.openxmlformats.org/officeDocument/2006/relationships/hyperlink" Target="https://dretssocials.gencat.cat/ca/ambits_tematics/serveis_socials/pla-estrategic-de-serveis-socials-de-catalunya/PESS2021-24/index.html" TargetMode="External"/><Relationship Id="rId45" Type="http://schemas.openxmlformats.org/officeDocument/2006/relationships/hyperlink" Target="https://canviclimatic.gencat.cat/ca/oficina/index.html" TargetMode="External"/><Relationship Id="rId5" Type="http://schemas.openxmlformats.org/officeDocument/2006/relationships/hyperlink" Target="https://residus.gencat.cat/ca/ambits_dactuacio/tipus_de_residu/sanitaris/" TargetMode="External"/><Relationship Id="rId15" Type="http://schemas.openxmlformats.org/officeDocument/2006/relationships/hyperlink" Target="https://www.iso.org/iso-14001-environmental-management.html" TargetMode="External"/><Relationship Id="rId23" Type="http://schemas.openxmlformats.org/officeDocument/2006/relationships/hyperlink" Target="https://sustainablepackaging.org/" TargetMode="External"/><Relationship Id="rId28" Type="http://schemas.openxmlformats.org/officeDocument/2006/relationships/hyperlink" Target="https://mediambient.gencat.cat/ca/05_ambits_dactuacio/empresa_i_produccio_sostenible/sistemes_de_gestio/sistemes_de_gestio_ambiental_iso_14001_i_emas/emas/index.html" TargetMode="External"/><Relationship Id="rId36" Type="http://schemas.openxmlformats.org/officeDocument/2006/relationships/hyperlink" Target="https://drogues.gencat.cat/ca/professionals/prevencio_de_trastorns_mentals/materials/guia/" TargetMode="External"/><Relationship Id="rId49" Type="http://schemas.openxmlformats.org/officeDocument/2006/relationships/printerSettings" Target="../printerSettings/printerSettings21.bin"/><Relationship Id="rId10" Type="http://schemas.openxmlformats.org/officeDocument/2006/relationships/hyperlink" Target="https://www.undp.org/es/argentina/publicaciones/guia-para-la-adquisicion-sostenible-de-productos-sanitarios" TargetMode="External"/><Relationship Id="rId19" Type="http://schemas.openxmlformats.org/officeDocument/2006/relationships/hyperlink" Target="https://ghgprotocol.org/" TargetMode="External"/><Relationship Id="rId31" Type="http://schemas.openxmlformats.org/officeDocument/2006/relationships/hyperlink" Target="https://www.pimec.org/ca/pimes-autonoms/serveis/medi-ambient-responsabilitat-social-corporativa/codi-etic-conducta" TargetMode="External"/><Relationship Id="rId44" Type="http://schemas.openxmlformats.org/officeDocument/2006/relationships/hyperlink" Target="https://govern.cat/gov/pla-govern?eix=0&amp;ambit=1" TargetMode="External"/><Relationship Id="rId4" Type="http://schemas.openxmlformats.org/officeDocument/2006/relationships/hyperlink" Target="https://support.usgbc.org/hc/en-us/articles/12126333712659-Applying-LEED-to-healthcare-projects" TargetMode="External"/><Relationship Id="rId9" Type="http://schemas.openxmlformats.org/officeDocument/2006/relationships/hyperlink" Target="https://www.health.vic.gov.au/planning-infrastructure/reducing-water-use-at-healthcare-facilities" TargetMode="External"/><Relationship Id="rId14" Type="http://schemas.openxmlformats.org/officeDocument/2006/relationships/hyperlink" Target="https://www.iso.org/iso-9001-quality-management.html" TargetMode="External"/><Relationship Id="rId22" Type="http://schemas.openxmlformats.org/officeDocument/2006/relationships/hyperlink" Target="https://www.boe.es/buscar/act.php?id=BOE-A-2022-5809" TargetMode="External"/><Relationship Id="rId27" Type="http://schemas.openxmlformats.org/officeDocument/2006/relationships/hyperlink" Target="https://www.aecoc.es/servicios/leangreen-espana/" TargetMode="External"/><Relationship Id="rId30" Type="http://schemas.openxmlformats.org/officeDocument/2006/relationships/hyperlink" Target="https://act.gencat.cat/wp-content/uploads/2019/05/CAT-ACT-POL%C3%8DTICA-DE-PRIVACITAT.pdf" TargetMode="External"/><Relationship Id="rId35" Type="http://schemas.openxmlformats.org/officeDocument/2006/relationships/hyperlink" Target="https://www.undp.org/es/argentina/publicaciones/guia-para-la-adquisicion-sostenible-de-productos-sanitarios" TargetMode="External"/><Relationship Id="rId43" Type="http://schemas.openxmlformats.org/officeDocument/2006/relationships/hyperlink" Target="https://dogc.gencat.cat/ca/document-del-dogc/?documentId=966011" TargetMode="External"/><Relationship Id="rId48" Type="http://schemas.openxmlformats.org/officeDocument/2006/relationships/hyperlink" Target="https://residus.gencat.cat/ca/consultes_i_tramits_-_nou/normativa/" TargetMode="External"/><Relationship Id="rId8" Type="http://schemas.openxmlformats.org/officeDocument/2006/relationships/hyperlink" Target="https://www.cdc.gov/HAI/pdfs/Water-Management-Checklist-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FFFF00"/>
  </sheetPr>
  <dimension ref="A1:L684"/>
  <sheetViews>
    <sheetView workbookViewId="0">
      <selection activeCell="A361" sqref="A361"/>
    </sheetView>
  </sheetViews>
  <sheetFormatPr defaultColWidth="8.7265625" defaultRowHeight="12.5"/>
  <cols>
    <col min="1" max="1" width="65.81640625" customWidth="1"/>
    <col min="2" max="2" width="19.54296875" hidden="1" customWidth="1"/>
    <col min="3" max="3" width="14.54296875" customWidth="1"/>
    <col min="4" max="4" width="17.54296875" customWidth="1"/>
    <col min="5" max="12" width="19.54296875" customWidth="1"/>
  </cols>
  <sheetData>
    <row r="1" spans="1:12" ht="14">
      <c r="A1" s="191" t="s">
        <v>0</v>
      </c>
      <c r="B1" s="7"/>
    </row>
    <row r="2" spans="1:12" ht="13">
      <c r="A2" s="8" t="s">
        <v>1</v>
      </c>
      <c r="B2" s="9"/>
    </row>
    <row r="3" spans="1:12">
      <c r="A3" s="10" t="s">
        <v>2</v>
      </c>
      <c r="B3" s="11"/>
    </row>
    <row r="4" spans="1:12" ht="14">
      <c r="A4" s="12" t="s">
        <v>3</v>
      </c>
      <c r="B4" s="13"/>
    </row>
    <row r="5" spans="1:12" ht="13">
      <c r="A5" s="14" t="s">
        <v>4</v>
      </c>
      <c r="B5" s="15"/>
    </row>
    <row r="6" spans="1:12">
      <c r="A6" s="10" t="s">
        <v>2</v>
      </c>
      <c r="B6" s="11"/>
    </row>
    <row r="7" spans="1:12" ht="13">
      <c r="A7" s="4" t="s">
        <v>5</v>
      </c>
      <c r="B7" s="2" t="s">
        <v>6</v>
      </c>
      <c r="C7" s="2" t="s">
        <v>7</v>
      </c>
      <c r="D7" s="2" t="s">
        <v>8</v>
      </c>
      <c r="E7" s="2" t="s">
        <v>9</v>
      </c>
      <c r="F7" s="2" t="s">
        <v>10</v>
      </c>
      <c r="G7" s="2" t="s">
        <v>11</v>
      </c>
      <c r="H7" s="2" t="s">
        <v>12</v>
      </c>
      <c r="I7" s="2" t="s">
        <v>13</v>
      </c>
      <c r="J7" s="2" t="s">
        <v>14</v>
      </c>
      <c r="K7" s="2" t="s">
        <v>15</v>
      </c>
      <c r="L7" s="2" t="s">
        <v>16</v>
      </c>
    </row>
    <row r="8" spans="1:12" ht="13">
      <c r="A8" s="4" t="s">
        <v>5</v>
      </c>
      <c r="B8" s="3" t="s">
        <v>17</v>
      </c>
      <c r="C8" s="3">
        <v>2020</v>
      </c>
      <c r="D8" s="3">
        <v>2020</v>
      </c>
      <c r="E8" s="3" t="s">
        <v>17</v>
      </c>
      <c r="F8" s="3" t="s">
        <v>17</v>
      </c>
      <c r="G8" s="3" t="s">
        <v>17</v>
      </c>
      <c r="H8" s="3" t="s">
        <v>17</v>
      </c>
      <c r="I8" s="3" t="s">
        <v>17</v>
      </c>
      <c r="J8" s="3" t="s">
        <v>17</v>
      </c>
      <c r="K8" s="3" t="s">
        <v>17</v>
      </c>
      <c r="L8" s="3" t="s">
        <v>17</v>
      </c>
    </row>
    <row r="9" spans="1:12" ht="13" hidden="1" customHeight="1">
      <c r="A9" s="16" t="s">
        <v>18</v>
      </c>
      <c r="B9" s="17"/>
      <c r="E9" s="17"/>
      <c r="F9" s="17"/>
      <c r="G9" s="17"/>
      <c r="H9" s="17"/>
      <c r="I9" s="17"/>
      <c r="J9" s="17"/>
      <c r="K9" s="17"/>
      <c r="L9" s="18"/>
    </row>
    <row r="10" spans="1:12" ht="13" hidden="1" customHeight="1">
      <c r="A10" s="3" t="s">
        <v>19</v>
      </c>
      <c r="B10" s="5">
        <v>3404428</v>
      </c>
      <c r="E10" s="5">
        <v>1912010</v>
      </c>
      <c r="F10" s="5">
        <v>907192</v>
      </c>
      <c r="G10" s="5">
        <v>305986</v>
      </c>
      <c r="H10" s="5">
        <v>125472</v>
      </c>
      <c r="I10" s="5">
        <v>81298</v>
      </c>
      <c r="J10" s="5">
        <v>46101</v>
      </c>
      <c r="K10" s="5">
        <v>13275</v>
      </c>
      <c r="L10" s="5">
        <v>6906</v>
      </c>
    </row>
    <row r="11" spans="1:12" ht="13" hidden="1" customHeight="1">
      <c r="A11" s="3" t="s">
        <v>20</v>
      </c>
      <c r="B11" s="5">
        <v>58</v>
      </c>
      <c r="E11" s="5">
        <v>43</v>
      </c>
      <c r="F11" s="5">
        <v>5</v>
      </c>
      <c r="G11" s="5">
        <v>1</v>
      </c>
      <c r="H11" s="5">
        <v>2</v>
      </c>
      <c r="I11" s="5">
        <v>3</v>
      </c>
      <c r="J11" s="5">
        <v>0</v>
      </c>
      <c r="K11" s="5">
        <v>3</v>
      </c>
      <c r="L11" s="5">
        <v>0</v>
      </c>
    </row>
    <row r="12" spans="1:12" ht="13" hidden="1" customHeight="1">
      <c r="A12" s="3" t="s">
        <v>21</v>
      </c>
      <c r="B12" s="5">
        <v>55</v>
      </c>
      <c r="E12" s="5">
        <v>41</v>
      </c>
      <c r="F12" s="5">
        <v>4</v>
      </c>
      <c r="G12" s="5">
        <v>1</v>
      </c>
      <c r="H12" s="5">
        <v>2</v>
      </c>
      <c r="I12" s="5">
        <v>3</v>
      </c>
      <c r="J12" s="5">
        <v>0</v>
      </c>
      <c r="K12" s="5">
        <v>3</v>
      </c>
      <c r="L12" s="5">
        <v>0</v>
      </c>
    </row>
    <row r="13" spans="1:12" ht="13" hidden="1" customHeight="1">
      <c r="A13" s="3" t="s">
        <v>22</v>
      </c>
      <c r="B13" s="5">
        <v>3</v>
      </c>
      <c r="E13" s="5">
        <v>2</v>
      </c>
      <c r="F13" s="5">
        <v>1</v>
      </c>
      <c r="G13" s="5">
        <v>0</v>
      </c>
      <c r="H13" s="5">
        <v>0</v>
      </c>
      <c r="I13" s="5">
        <v>0</v>
      </c>
      <c r="J13" s="5">
        <v>0</v>
      </c>
      <c r="K13" s="5">
        <v>0</v>
      </c>
      <c r="L13" s="5">
        <v>0</v>
      </c>
    </row>
    <row r="14" spans="1:12" ht="13" hidden="1" customHeight="1">
      <c r="A14" s="3" t="s">
        <v>23</v>
      </c>
      <c r="B14" s="5">
        <v>8</v>
      </c>
      <c r="E14" s="5">
        <v>2</v>
      </c>
      <c r="F14" s="5">
        <v>4</v>
      </c>
      <c r="G14" s="5">
        <v>1</v>
      </c>
      <c r="H14" s="5">
        <v>0</v>
      </c>
      <c r="I14" s="5">
        <v>0</v>
      </c>
      <c r="J14" s="5">
        <v>1</v>
      </c>
      <c r="K14" s="5">
        <v>0</v>
      </c>
      <c r="L14" s="5">
        <v>0</v>
      </c>
    </row>
    <row r="15" spans="1:12" ht="13" hidden="1" customHeight="1">
      <c r="A15" s="3" t="s">
        <v>24</v>
      </c>
      <c r="B15" s="5">
        <v>6</v>
      </c>
      <c r="E15" s="5">
        <v>1</v>
      </c>
      <c r="F15" s="5">
        <v>4</v>
      </c>
      <c r="G15" s="5">
        <v>1</v>
      </c>
      <c r="H15" s="5">
        <v>0</v>
      </c>
      <c r="I15" s="5">
        <v>0</v>
      </c>
      <c r="J15" s="5">
        <v>0</v>
      </c>
      <c r="K15" s="5">
        <v>0</v>
      </c>
      <c r="L15" s="5">
        <v>0</v>
      </c>
    </row>
    <row r="16" spans="1:12" ht="13" hidden="1" customHeight="1">
      <c r="A16" s="3" t="s">
        <v>25</v>
      </c>
      <c r="B16" s="5">
        <v>2</v>
      </c>
      <c r="E16" s="5">
        <v>1</v>
      </c>
      <c r="F16" s="5">
        <v>0</v>
      </c>
      <c r="G16" s="5">
        <v>0</v>
      </c>
      <c r="H16" s="5">
        <v>0</v>
      </c>
      <c r="I16" s="5">
        <v>0</v>
      </c>
      <c r="J16" s="5">
        <v>1</v>
      </c>
      <c r="K16" s="5">
        <v>0</v>
      </c>
      <c r="L16" s="5">
        <v>0</v>
      </c>
    </row>
    <row r="17" spans="1:12" ht="13" hidden="1" customHeight="1">
      <c r="A17" s="3" t="s">
        <v>26</v>
      </c>
      <c r="B17" s="5">
        <v>68</v>
      </c>
      <c r="E17" s="5">
        <v>34</v>
      </c>
      <c r="F17" s="5">
        <v>12</v>
      </c>
      <c r="G17" s="5">
        <v>6</v>
      </c>
      <c r="H17" s="5">
        <v>2</v>
      </c>
      <c r="I17" s="5">
        <v>4</v>
      </c>
      <c r="J17" s="5">
        <v>2</v>
      </c>
      <c r="K17" s="5">
        <v>4</v>
      </c>
      <c r="L17" s="5">
        <v>0</v>
      </c>
    </row>
    <row r="18" spans="1:12" ht="13" hidden="1" customHeight="1">
      <c r="A18" s="3" t="s">
        <v>27</v>
      </c>
      <c r="B18" s="5">
        <v>19</v>
      </c>
      <c r="E18" s="5">
        <v>11</v>
      </c>
      <c r="F18" s="5">
        <v>3</v>
      </c>
      <c r="G18" s="5">
        <v>3</v>
      </c>
      <c r="H18" s="5">
        <v>1</v>
      </c>
      <c r="I18" s="5">
        <v>0</v>
      </c>
      <c r="J18" s="5">
        <v>1</v>
      </c>
      <c r="K18" s="5">
        <v>0</v>
      </c>
      <c r="L18" s="5">
        <v>0</v>
      </c>
    </row>
    <row r="19" spans="1:12" ht="13" hidden="1" customHeight="1">
      <c r="A19" s="3" t="s">
        <v>28</v>
      </c>
      <c r="B19" s="5">
        <v>49</v>
      </c>
      <c r="E19" s="5">
        <v>23</v>
      </c>
      <c r="F19" s="5">
        <v>9</v>
      </c>
      <c r="G19" s="5">
        <v>3</v>
      </c>
      <c r="H19" s="5">
        <v>1</v>
      </c>
      <c r="I19" s="5">
        <v>4</v>
      </c>
      <c r="J19" s="5">
        <v>1</v>
      </c>
      <c r="K19" s="5">
        <v>4</v>
      </c>
      <c r="L19" s="5">
        <v>0</v>
      </c>
    </row>
    <row r="20" spans="1:12" ht="13" hidden="1" customHeight="1">
      <c r="A20" s="3" t="s">
        <v>29</v>
      </c>
      <c r="B20" s="5">
        <v>1768</v>
      </c>
      <c r="E20" s="5">
        <v>556</v>
      </c>
      <c r="F20" s="5">
        <v>427</v>
      </c>
      <c r="G20" s="5">
        <v>244</v>
      </c>
      <c r="H20" s="5">
        <v>181</v>
      </c>
      <c r="I20" s="5">
        <v>207</v>
      </c>
      <c r="J20" s="5">
        <v>120</v>
      </c>
      <c r="K20" s="5">
        <v>25</v>
      </c>
      <c r="L20" s="5">
        <v>4</v>
      </c>
    </row>
    <row r="21" spans="1:12" ht="13" hidden="1" customHeight="1">
      <c r="A21" s="3" t="s">
        <v>30</v>
      </c>
      <c r="B21" s="5">
        <v>1607</v>
      </c>
      <c r="E21" s="5">
        <v>499</v>
      </c>
      <c r="F21" s="5">
        <v>389</v>
      </c>
      <c r="G21" s="5">
        <v>226</v>
      </c>
      <c r="H21" s="5">
        <v>167</v>
      </c>
      <c r="I21" s="5">
        <v>193</v>
      </c>
      <c r="J21" s="5">
        <v>111</v>
      </c>
      <c r="K21" s="5">
        <v>19</v>
      </c>
      <c r="L21" s="5">
        <v>3</v>
      </c>
    </row>
    <row r="22" spans="1:12" ht="13" hidden="1" customHeight="1">
      <c r="A22" s="3" t="s">
        <v>31</v>
      </c>
      <c r="B22" s="5">
        <v>161</v>
      </c>
      <c r="E22" s="5">
        <v>57</v>
      </c>
      <c r="F22" s="5">
        <v>38</v>
      </c>
      <c r="G22" s="5">
        <v>18</v>
      </c>
      <c r="H22" s="5">
        <v>14</v>
      </c>
      <c r="I22" s="5">
        <v>14</v>
      </c>
      <c r="J22" s="5">
        <v>9</v>
      </c>
      <c r="K22" s="5">
        <v>6</v>
      </c>
      <c r="L22" s="5">
        <v>1</v>
      </c>
    </row>
    <row r="23" spans="1:12" ht="13" hidden="1" customHeight="1">
      <c r="A23" s="3" t="s">
        <v>32</v>
      </c>
      <c r="B23" s="5">
        <v>72</v>
      </c>
      <c r="E23" s="5">
        <v>34</v>
      </c>
      <c r="F23" s="5">
        <v>21</v>
      </c>
      <c r="G23" s="5">
        <v>5</v>
      </c>
      <c r="H23" s="5">
        <v>4</v>
      </c>
      <c r="I23" s="5">
        <v>2</v>
      </c>
      <c r="J23" s="5">
        <v>5</v>
      </c>
      <c r="K23" s="5">
        <v>0</v>
      </c>
      <c r="L23" s="5">
        <v>0</v>
      </c>
    </row>
    <row r="24" spans="1:12" ht="13" hidden="1" customHeight="1">
      <c r="A24" s="3" t="s">
        <v>33</v>
      </c>
      <c r="B24" s="5">
        <v>42</v>
      </c>
      <c r="E24" s="5">
        <v>30</v>
      </c>
      <c r="F24" s="5">
        <v>5</v>
      </c>
      <c r="G24" s="5">
        <v>3</v>
      </c>
      <c r="H24" s="5">
        <v>1</v>
      </c>
      <c r="I24" s="5">
        <v>0</v>
      </c>
      <c r="J24" s="5">
        <v>3</v>
      </c>
      <c r="K24" s="5">
        <v>0</v>
      </c>
      <c r="L24" s="5">
        <v>0</v>
      </c>
    </row>
    <row r="25" spans="1:12" ht="13" hidden="1" customHeight="1">
      <c r="A25" s="3" t="s">
        <v>34</v>
      </c>
      <c r="B25" s="5">
        <v>30</v>
      </c>
      <c r="E25" s="5">
        <v>4</v>
      </c>
      <c r="F25" s="5">
        <v>16</v>
      </c>
      <c r="G25" s="5">
        <v>2</v>
      </c>
      <c r="H25" s="5">
        <v>3</v>
      </c>
      <c r="I25" s="5">
        <v>2</v>
      </c>
      <c r="J25" s="5">
        <v>2</v>
      </c>
      <c r="K25" s="5">
        <v>0</v>
      </c>
      <c r="L25" s="5">
        <v>0</v>
      </c>
    </row>
    <row r="26" spans="1:12" ht="13" hidden="1" customHeight="1">
      <c r="A26" s="3" t="s">
        <v>35</v>
      </c>
      <c r="B26" s="5">
        <v>25309</v>
      </c>
      <c r="E26" s="5">
        <v>5113</v>
      </c>
      <c r="F26" s="5">
        <v>7185</v>
      </c>
      <c r="G26" s="5">
        <v>4733</v>
      </c>
      <c r="H26" s="5">
        <v>2728</v>
      </c>
      <c r="I26" s="5">
        <v>2498</v>
      </c>
      <c r="J26" s="5">
        <v>2004</v>
      </c>
      <c r="K26" s="5">
        <v>516</v>
      </c>
      <c r="L26" s="5">
        <v>267</v>
      </c>
    </row>
    <row r="27" spans="1:12" ht="13" hidden="1" customHeight="1">
      <c r="A27" s="3" t="s">
        <v>36</v>
      </c>
      <c r="B27" s="5">
        <v>3641</v>
      </c>
      <c r="E27" s="5">
        <v>698</v>
      </c>
      <c r="F27" s="5">
        <v>732</v>
      </c>
      <c r="G27" s="5">
        <v>563</v>
      </c>
      <c r="H27" s="5">
        <v>451</v>
      </c>
      <c r="I27" s="5">
        <v>503</v>
      </c>
      <c r="J27" s="5">
        <v>429</v>
      </c>
      <c r="K27" s="5">
        <v>128</v>
      </c>
      <c r="L27" s="5">
        <v>60</v>
      </c>
    </row>
    <row r="28" spans="1:12" ht="13" hidden="1" customHeight="1">
      <c r="A28" s="3" t="s">
        <v>37</v>
      </c>
      <c r="B28" s="5">
        <v>619</v>
      </c>
      <c r="E28" s="5">
        <v>105</v>
      </c>
      <c r="F28" s="5">
        <v>96</v>
      </c>
      <c r="G28" s="5">
        <v>61</v>
      </c>
      <c r="H28" s="5">
        <v>59</v>
      </c>
      <c r="I28" s="5">
        <v>85</v>
      </c>
      <c r="J28" s="5">
        <v>120</v>
      </c>
      <c r="K28" s="5">
        <v>42</v>
      </c>
      <c r="L28" s="5">
        <v>29</v>
      </c>
    </row>
    <row r="29" spans="1:12" ht="13" hidden="1" customHeight="1">
      <c r="A29" s="3" t="s">
        <v>38</v>
      </c>
      <c r="B29" s="5">
        <v>1456</v>
      </c>
      <c r="E29" s="5">
        <v>331</v>
      </c>
      <c r="F29" s="5">
        <v>306</v>
      </c>
      <c r="G29" s="5">
        <v>181</v>
      </c>
      <c r="H29" s="5">
        <v>127</v>
      </c>
      <c r="I29" s="5">
        <v>163</v>
      </c>
      <c r="J29" s="5">
        <v>192</v>
      </c>
      <c r="K29" s="5">
        <v>84</v>
      </c>
      <c r="L29" s="5">
        <v>36</v>
      </c>
    </row>
    <row r="30" spans="1:12" ht="13" hidden="1" customHeight="1">
      <c r="A30" s="3" t="s">
        <v>39</v>
      </c>
      <c r="B30" s="5">
        <v>1670</v>
      </c>
      <c r="E30" s="5">
        <v>243</v>
      </c>
      <c r="F30" s="5">
        <v>439</v>
      </c>
      <c r="G30" s="5">
        <v>429</v>
      </c>
      <c r="H30" s="5">
        <v>234</v>
      </c>
      <c r="I30" s="5">
        <v>177</v>
      </c>
      <c r="J30" s="5">
        <v>114</v>
      </c>
      <c r="K30" s="5">
        <v>13</v>
      </c>
      <c r="L30" s="5">
        <v>12</v>
      </c>
    </row>
    <row r="31" spans="1:12" ht="13" hidden="1" customHeight="1">
      <c r="A31" s="3" t="s">
        <v>40</v>
      </c>
      <c r="B31" s="5">
        <v>1726</v>
      </c>
      <c r="E31" s="5">
        <v>472</v>
      </c>
      <c r="F31" s="5">
        <v>567</v>
      </c>
      <c r="G31" s="5">
        <v>262</v>
      </c>
      <c r="H31" s="5">
        <v>151</v>
      </c>
      <c r="I31" s="5">
        <v>124</v>
      </c>
      <c r="J31" s="5">
        <v>89</v>
      </c>
      <c r="K31" s="5">
        <v>21</v>
      </c>
      <c r="L31" s="5">
        <v>15</v>
      </c>
    </row>
    <row r="32" spans="1:12" ht="13" hidden="1" customHeight="1">
      <c r="A32" s="3" t="s">
        <v>41</v>
      </c>
      <c r="B32" s="5">
        <v>407</v>
      </c>
      <c r="E32" s="5">
        <v>94</v>
      </c>
      <c r="F32" s="5">
        <v>104</v>
      </c>
      <c r="G32" s="5">
        <v>68</v>
      </c>
      <c r="H32" s="5">
        <v>42</v>
      </c>
      <c r="I32" s="5">
        <v>41</v>
      </c>
      <c r="J32" s="5">
        <v>38</v>
      </c>
      <c r="K32" s="5">
        <v>9</v>
      </c>
      <c r="L32" s="5">
        <v>3</v>
      </c>
    </row>
    <row r="33" spans="1:12" ht="13" hidden="1" customHeight="1">
      <c r="A33" s="3" t="s">
        <v>42</v>
      </c>
      <c r="B33" s="5">
        <v>11778</v>
      </c>
      <c r="E33" s="5">
        <v>2369</v>
      </c>
      <c r="F33" s="5">
        <v>3900</v>
      </c>
      <c r="G33" s="5">
        <v>2524</v>
      </c>
      <c r="H33" s="5">
        <v>1253</v>
      </c>
      <c r="I33" s="5">
        <v>979</v>
      </c>
      <c r="J33" s="5">
        <v>587</v>
      </c>
      <c r="K33" s="5">
        <v>95</v>
      </c>
      <c r="L33" s="5">
        <v>45</v>
      </c>
    </row>
    <row r="34" spans="1:12" ht="13" hidden="1" customHeight="1">
      <c r="A34" s="3" t="s">
        <v>43</v>
      </c>
      <c r="B34" s="5">
        <v>3237</v>
      </c>
      <c r="E34" s="5">
        <v>690</v>
      </c>
      <c r="F34" s="5">
        <v>895</v>
      </c>
      <c r="G34" s="5">
        <v>516</v>
      </c>
      <c r="H34" s="5">
        <v>316</v>
      </c>
      <c r="I34" s="5">
        <v>320</v>
      </c>
      <c r="J34" s="5">
        <v>307</v>
      </c>
      <c r="K34" s="5">
        <v>88</v>
      </c>
      <c r="L34" s="5">
        <v>52</v>
      </c>
    </row>
    <row r="35" spans="1:12" ht="13" hidden="1" customHeight="1">
      <c r="A35" s="3" t="s">
        <v>44</v>
      </c>
      <c r="B35" s="5">
        <v>775</v>
      </c>
      <c r="E35" s="5">
        <v>111</v>
      </c>
      <c r="F35" s="5">
        <v>146</v>
      </c>
      <c r="G35" s="5">
        <v>129</v>
      </c>
      <c r="H35" s="5">
        <v>95</v>
      </c>
      <c r="I35" s="5">
        <v>106</v>
      </c>
      <c r="J35" s="5">
        <v>128</v>
      </c>
      <c r="K35" s="5">
        <v>36</v>
      </c>
      <c r="L35" s="5">
        <v>15</v>
      </c>
    </row>
    <row r="36" spans="1:12" ht="13" hidden="1" customHeight="1">
      <c r="A36" s="3" t="s">
        <v>45</v>
      </c>
      <c r="B36" s="5">
        <v>5264</v>
      </c>
      <c r="E36" s="5">
        <v>1519</v>
      </c>
      <c r="F36" s="5">
        <v>1528</v>
      </c>
      <c r="G36" s="5">
        <v>815</v>
      </c>
      <c r="H36" s="5">
        <v>539</v>
      </c>
      <c r="I36" s="5">
        <v>428</v>
      </c>
      <c r="J36" s="5">
        <v>299</v>
      </c>
      <c r="K36" s="5">
        <v>73</v>
      </c>
      <c r="L36" s="5">
        <v>30</v>
      </c>
    </row>
    <row r="37" spans="1:12" ht="13" hidden="1" customHeight="1">
      <c r="A37" s="3" t="s">
        <v>46</v>
      </c>
      <c r="B37" s="5">
        <v>5264</v>
      </c>
      <c r="E37" s="5">
        <v>1519</v>
      </c>
      <c r="F37" s="5">
        <v>1528</v>
      </c>
      <c r="G37" s="5">
        <v>815</v>
      </c>
      <c r="H37" s="5">
        <v>539</v>
      </c>
      <c r="I37" s="5">
        <v>428</v>
      </c>
      <c r="J37" s="5">
        <v>299</v>
      </c>
      <c r="K37" s="5">
        <v>73</v>
      </c>
      <c r="L37" s="5">
        <v>30</v>
      </c>
    </row>
    <row r="38" spans="1:12" ht="13" hidden="1" customHeight="1">
      <c r="A38" s="3" t="s">
        <v>47</v>
      </c>
      <c r="B38" s="5">
        <v>50</v>
      </c>
      <c r="E38" s="5">
        <v>20</v>
      </c>
      <c r="F38" s="5">
        <v>9</v>
      </c>
      <c r="G38" s="5">
        <v>4</v>
      </c>
      <c r="H38" s="5">
        <v>3</v>
      </c>
      <c r="I38" s="5">
        <v>5</v>
      </c>
      <c r="J38" s="5">
        <v>3</v>
      </c>
      <c r="K38" s="5">
        <v>1</v>
      </c>
      <c r="L38" s="5">
        <v>3</v>
      </c>
    </row>
    <row r="39" spans="1:12" ht="13" hidden="1" customHeight="1">
      <c r="A39" s="3" t="s">
        <v>48</v>
      </c>
      <c r="B39" s="5">
        <v>50</v>
      </c>
      <c r="E39" s="5">
        <v>20</v>
      </c>
      <c r="F39" s="5">
        <v>9</v>
      </c>
      <c r="G39" s="5">
        <v>4</v>
      </c>
      <c r="H39" s="5">
        <v>3</v>
      </c>
      <c r="I39" s="5">
        <v>5</v>
      </c>
      <c r="J39" s="5">
        <v>3</v>
      </c>
      <c r="K39" s="5">
        <v>1</v>
      </c>
      <c r="L39" s="5">
        <v>3</v>
      </c>
    </row>
    <row r="40" spans="1:12" ht="13" hidden="1" customHeight="1">
      <c r="A40" s="3" t="s">
        <v>49</v>
      </c>
      <c r="B40" s="5">
        <v>6434</v>
      </c>
      <c r="E40" s="5">
        <v>2801</v>
      </c>
      <c r="F40" s="5">
        <v>1525</v>
      </c>
      <c r="G40" s="5">
        <v>711</v>
      </c>
      <c r="H40" s="5">
        <v>475</v>
      </c>
      <c r="I40" s="5">
        <v>538</v>
      </c>
      <c r="J40" s="5">
        <v>253</v>
      </c>
      <c r="K40" s="5">
        <v>86</v>
      </c>
      <c r="L40" s="5">
        <v>26</v>
      </c>
    </row>
    <row r="41" spans="1:12" ht="13" hidden="1" customHeight="1">
      <c r="A41" s="3" t="s">
        <v>50</v>
      </c>
      <c r="B41" s="5">
        <v>373</v>
      </c>
      <c r="E41" s="5">
        <v>81</v>
      </c>
      <c r="F41" s="5">
        <v>94</v>
      </c>
      <c r="G41" s="5">
        <v>57</v>
      </c>
      <c r="H41" s="5">
        <v>39</v>
      </c>
      <c r="I41" s="5">
        <v>60</v>
      </c>
      <c r="J41" s="5">
        <v>27</v>
      </c>
      <c r="K41" s="5">
        <v>9</v>
      </c>
      <c r="L41" s="5">
        <v>4</v>
      </c>
    </row>
    <row r="42" spans="1:12" ht="13" hidden="1" customHeight="1">
      <c r="A42" s="3" t="s">
        <v>51</v>
      </c>
      <c r="B42" s="5">
        <v>404</v>
      </c>
      <c r="E42" s="5">
        <v>46</v>
      </c>
      <c r="F42" s="5">
        <v>121</v>
      </c>
      <c r="G42" s="5">
        <v>70</v>
      </c>
      <c r="H42" s="5">
        <v>52</v>
      </c>
      <c r="I42" s="5">
        <v>66</v>
      </c>
      <c r="J42" s="5">
        <v>30</v>
      </c>
      <c r="K42" s="5">
        <v>10</v>
      </c>
      <c r="L42" s="5">
        <v>3</v>
      </c>
    </row>
    <row r="43" spans="1:12" ht="13" hidden="1" customHeight="1">
      <c r="A43" s="3" t="s">
        <v>52</v>
      </c>
      <c r="B43" s="5">
        <v>875</v>
      </c>
      <c r="E43" s="5">
        <v>335</v>
      </c>
      <c r="F43" s="5">
        <v>219</v>
      </c>
      <c r="G43" s="5">
        <v>102</v>
      </c>
      <c r="H43" s="5">
        <v>65</v>
      </c>
      <c r="I43" s="5">
        <v>75</v>
      </c>
      <c r="J43" s="5">
        <v>60</v>
      </c>
      <c r="K43" s="5">
        <v>11</v>
      </c>
      <c r="L43" s="5">
        <v>5</v>
      </c>
    </row>
    <row r="44" spans="1:12" ht="13" hidden="1" customHeight="1">
      <c r="A44" s="3" t="s">
        <v>53</v>
      </c>
      <c r="B44" s="5">
        <v>4782</v>
      </c>
      <c r="E44" s="5">
        <v>2339</v>
      </c>
      <c r="F44" s="5">
        <v>1091</v>
      </c>
      <c r="G44" s="5">
        <v>482</v>
      </c>
      <c r="H44" s="5">
        <v>319</v>
      </c>
      <c r="I44" s="5">
        <v>337</v>
      </c>
      <c r="J44" s="5">
        <v>136</v>
      </c>
      <c r="K44" s="5">
        <v>56</v>
      </c>
      <c r="L44" s="5">
        <v>14</v>
      </c>
    </row>
    <row r="45" spans="1:12" ht="13" hidden="1" customHeight="1">
      <c r="A45" s="3" t="s">
        <v>54</v>
      </c>
      <c r="B45" s="5">
        <v>9221</v>
      </c>
      <c r="E45" s="5">
        <v>4735</v>
      </c>
      <c r="F45" s="5">
        <v>2290</v>
      </c>
      <c r="G45" s="5">
        <v>904</v>
      </c>
      <c r="H45" s="5">
        <v>539</v>
      </c>
      <c r="I45" s="5">
        <v>473</v>
      </c>
      <c r="J45" s="5">
        <v>220</v>
      </c>
      <c r="K45" s="5">
        <v>41</v>
      </c>
      <c r="L45" s="5">
        <v>8</v>
      </c>
    </row>
    <row r="46" spans="1:12" ht="13" hidden="1" customHeight="1">
      <c r="A46" s="3" t="s">
        <v>55</v>
      </c>
      <c r="B46" s="5">
        <v>8624</v>
      </c>
      <c r="E46" s="5">
        <v>4497</v>
      </c>
      <c r="F46" s="5">
        <v>2128</v>
      </c>
      <c r="G46" s="5">
        <v>837</v>
      </c>
      <c r="H46" s="5">
        <v>486</v>
      </c>
      <c r="I46" s="5">
        <v>425</v>
      </c>
      <c r="J46" s="5">
        <v>200</v>
      </c>
      <c r="K46" s="5">
        <v>35</v>
      </c>
      <c r="L46" s="5">
        <v>7</v>
      </c>
    </row>
    <row r="47" spans="1:12" ht="13" hidden="1" customHeight="1">
      <c r="A47" s="3" t="s">
        <v>56</v>
      </c>
      <c r="B47" s="5">
        <v>133</v>
      </c>
      <c r="E47" s="5">
        <v>72</v>
      </c>
      <c r="F47" s="5">
        <v>37</v>
      </c>
      <c r="G47" s="5">
        <v>13</v>
      </c>
      <c r="H47" s="5">
        <v>8</v>
      </c>
      <c r="I47" s="5">
        <v>2</v>
      </c>
      <c r="J47" s="5">
        <v>1</v>
      </c>
      <c r="K47" s="5">
        <v>0</v>
      </c>
      <c r="L47" s="5">
        <v>0</v>
      </c>
    </row>
    <row r="48" spans="1:12" ht="13" hidden="1" customHeight="1">
      <c r="A48" s="3" t="s">
        <v>57</v>
      </c>
      <c r="B48" s="5">
        <v>464</v>
      </c>
      <c r="E48" s="5">
        <v>166</v>
      </c>
      <c r="F48" s="5">
        <v>125</v>
      </c>
      <c r="G48" s="5">
        <v>54</v>
      </c>
      <c r="H48" s="5">
        <v>45</v>
      </c>
      <c r="I48" s="5">
        <v>46</v>
      </c>
      <c r="J48" s="5">
        <v>19</v>
      </c>
      <c r="K48" s="5">
        <v>6</v>
      </c>
      <c r="L48" s="5">
        <v>1</v>
      </c>
    </row>
    <row r="49" spans="1:12" ht="13" hidden="1" customHeight="1">
      <c r="A49" s="3" t="s">
        <v>58</v>
      </c>
      <c r="B49" s="5">
        <v>4451</v>
      </c>
      <c r="E49" s="5">
        <v>1594</v>
      </c>
      <c r="F49" s="5">
        <v>946</v>
      </c>
      <c r="G49" s="5">
        <v>517</v>
      </c>
      <c r="H49" s="5">
        <v>398</v>
      </c>
      <c r="I49" s="5">
        <v>505</v>
      </c>
      <c r="J49" s="5">
        <v>374</v>
      </c>
      <c r="K49" s="5">
        <v>75</v>
      </c>
      <c r="L49" s="5">
        <v>34</v>
      </c>
    </row>
    <row r="50" spans="1:12" ht="13" hidden="1" customHeight="1">
      <c r="A50" s="3" t="s">
        <v>59</v>
      </c>
      <c r="B50" s="5">
        <v>1171</v>
      </c>
      <c r="E50" s="5">
        <v>490</v>
      </c>
      <c r="F50" s="5">
        <v>295</v>
      </c>
      <c r="G50" s="5">
        <v>139</v>
      </c>
      <c r="H50" s="5">
        <v>80</v>
      </c>
      <c r="I50" s="5">
        <v>82</v>
      </c>
      <c r="J50" s="5">
        <v>50</v>
      </c>
      <c r="K50" s="5">
        <v>17</v>
      </c>
      <c r="L50" s="5">
        <v>15</v>
      </c>
    </row>
    <row r="51" spans="1:12" ht="13" hidden="1" customHeight="1">
      <c r="A51" s="3" t="s">
        <v>60</v>
      </c>
      <c r="B51" s="5">
        <v>3280</v>
      </c>
      <c r="E51" s="5">
        <v>1104</v>
      </c>
      <c r="F51" s="5">
        <v>651</v>
      </c>
      <c r="G51" s="5">
        <v>378</v>
      </c>
      <c r="H51" s="5">
        <v>318</v>
      </c>
      <c r="I51" s="5">
        <v>423</v>
      </c>
      <c r="J51" s="5">
        <v>324</v>
      </c>
      <c r="K51" s="5">
        <v>58</v>
      </c>
      <c r="L51" s="5">
        <v>19</v>
      </c>
    </row>
    <row r="52" spans="1:12" ht="13" hidden="1" customHeight="1">
      <c r="A52" s="3" t="s">
        <v>61</v>
      </c>
      <c r="B52" s="5">
        <v>9961</v>
      </c>
      <c r="E52" s="5">
        <v>3587</v>
      </c>
      <c r="F52" s="5">
        <v>3275</v>
      </c>
      <c r="G52" s="5">
        <v>1290</v>
      </c>
      <c r="H52" s="5">
        <v>724</v>
      </c>
      <c r="I52" s="5">
        <v>610</v>
      </c>
      <c r="J52" s="5">
        <v>364</v>
      </c>
      <c r="K52" s="5">
        <v>66</v>
      </c>
      <c r="L52" s="5">
        <v>27</v>
      </c>
    </row>
    <row r="53" spans="1:12" ht="13" hidden="1" customHeight="1">
      <c r="A53" s="3" t="s">
        <v>62</v>
      </c>
      <c r="B53" s="5">
        <v>1081</v>
      </c>
      <c r="E53" s="5">
        <v>246</v>
      </c>
      <c r="F53" s="5">
        <v>323</v>
      </c>
      <c r="G53" s="5">
        <v>214</v>
      </c>
      <c r="H53" s="5">
        <v>117</v>
      </c>
      <c r="I53" s="5">
        <v>112</v>
      </c>
      <c r="J53" s="5">
        <v>54</v>
      </c>
      <c r="K53" s="5">
        <v>11</v>
      </c>
      <c r="L53" s="5">
        <v>4</v>
      </c>
    </row>
    <row r="54" spans="1:12" ht="13" hidden="1" customHeight="1">
      <c r="A54" s="3" t="s">
        <v>63</v>
      </c>
      <c r="B54" s="5">
        <v>8880</v>
      </c>
      <c r="E54" s="5">
        <v>3341</v>
      </c>
      <c r="F54" s="5">
        <v>2952</v>
      </c>
      <c r="G54" s="5">
        <v>1076</v>
      </c>
      <c r="H54" s="5">
        <v>607</v>
      </c>
      <c r="I54" s="5">
        <v>498</v>
      </c>
      <c r="J54" s="5">
        <v>310</v>
      </c>
      <c r="K54" s="5">
        <v>55</v>
      </c>
      <c r="L54" s="5">
        <v>23</v>
      </c>
    </row>
    <row r="55" spans="1:12" ht="13" hidden="1" customHeight="1">
      <c r="A55" s="3" t="s">
        <v>64</v>
      </c>
      <c r="B55" s="5">
        <v>1606</v>
      </c>
      <c r="E55" s="5">
        <v>355</v>
      </c>
      <c r="F55" s="5">
        <v>307</v>
      </c>
      <c r="G55" s="5">
        <v>190</v>
      </c>
      <c r="H55" s="5">
        <v>177</v>
      </c>
      <c r="I55" s="5">
        <v>212</v>
      </c>
      <c r="J55" s="5">
        <v>195</v>
      </c>
      <c r="K55" s="5">
        <v>88</v>
      </c>
      <c r="L55" s="5">
        <v>46</v>
      </c>
    </row>
    <row r="56" spans="1:12" ht="13" hidden="1" customHeight="1">
      <c r="A56" s="3" t="s">
        <v>65</v>
      </c>
      <c r="B56" s="5">
        <v>188</v>
      </c>
      <c r="E56" s="5">
        <v>35</v>
      </c>
      <c r="F56" s="5">
        <v>36</v>
      </c>
      <c r="G56" s="5">
        <v>26</v>
      </c>
      <c r="H56" s="5">
        <v>16</v>
      </c>
      <c r="I56" s="5">
        <v>18</v>
      </c>
      <c r="J56" s="5">
        <v>27</v>
      </c>
      <c r="K56" s="5">
        <v>11</v>
      </c>
      <c r="L56" s="5">
        <v>9</v>
      </c>
    </row>
    <row r="57" spans="1:12" ht="13" hidden="1" customHeight="1">
      <c r="A57" s="3" t="s">
        <v>66</v>
      </c>
      <c r="B57" s="5">
        <v>1418</v>
      </c>
      <c r="E57" s="5">
        <v>320</v>
      </c>
      <c r="F57" s="5">
        <v>271</v>
      </c>
      <c r="G57" s="5">
        <v>164</v>
      </c>
      <c r="H57" s="5">
        <v>161</v>
      </c>
      <c r="I57" s="5">
        <v>194</v>
      </c>
      <c r="J57" s="5">
        <v>168</v>
      </c>
      <c r="K57" s="5">
        <v>77</v>
      </c>
      <c r="L57" s="5">
        <v>37</v>
      </c>
    </row>
    <row r="58" spans="1:12" ht="13" hidden="1" customHeight="1">
      <c r="A58" s="3" t="s">
        <v>67</v>
      </c>
      <c r="B58" s="5">
        <v>14071</v>
      </c>
      <c r="E58" s="5">
        <v>5841</v>
      </c>
      <c r="F58" s="5">
        <v>4647</v>
      </c>
      <c r="G58" s="5">
        <v>1628</v>
      </c>
      <c r="H58" s="5">
        <v>784</v>
      </c>
      <c r="I58" s="5">
        <v>715</v>
      </c>
      <c r="J58" s="5">
        <v>317</v>
      </c>
      <c r="K58" s="5">
        <v>84</v>
      </c>
      <c r="L58" s="5">
        <v>39</v>
      </c>
    </row>
    <row r="59" spans="1:12" ht="13" hidden="1" customHeight="1">
      <c r="A59" s="3" t="s">
        <v>68</v>
      </c>
      <c r="B59" s="5">
        <v>12775</v>
      </c>
      <c r="E59" s="5">
        <v>4883</v>
      </c>
      <c r="F59" s="5">
        <v>4405</v>
      </c>
      <c r="G59" s="5">
        <v>1582</v>
      </c>
      <c r="H59" s="5">
        <v>757</v>
      </c>
      <c r="I59" s="5">
        <v>702</v>
      </c>
      <c r="J59" s="5">
        <v>312</v>
      </c>
      <c r="K59" s="5">
        <v>80</v>
      </c>
      <c r="L59" s="5">
        <v>38</v>
      </c>
    </row>
    <row r="60" spans="1:12" ht="13" hidden="1" customHeight="1">
      <c r="A60" s="3" t="s">
        <v>69</v>
      </c>
      <c r="B60" s="5">
        <v>1296</v>
      </c>
      <c r="E60" s="5">
        <v>958</v>
      </c>
      <c r="F60" s="5">
        <v>242</v>
      </c>
      <c r="G60" s="5">
        <v>46</v>
      </c>
      <c r="H60" s="5">
        <v>27</v>
      </c>
      <c r="I60" s="5">
        <v>13</v>
      </c>
      <c r="J60" s="5">
        <v>5</v>
      </c>
      <c r="K60" s="5">
        <v>4</v>
      </c>
      <c r="L60" s="5">
        <v>1</v>
      </c>
    </row>
    <row r="61" spans="1:12" ht="13" hidden="1" customHeight="1">
      <c r="A61" s="3" t="s">
        <v>70</v>
      </c>
      <c r="B61" s="5">
        <v>20</v>
      </c>
      <c r="E61" s="5">
        <v>5</v>
      </c>
      <c r="F61" s="5">
        <v>1</v>
      </c>
      <c r="G61" s="5">
        <v>4</v>
      </c>
      <c r="H61" s="5">
        <v>2</v>
      </c>
      <c r="I61" s="5">
        <v>0</v>
      </c>
      <c r="J61" s="5">
        <v>4</v>
      </c>
      <c r="K61" s="5">
        <v>1</v>
      </c>
      <c r="L61" s="5">
        <v>0</v>
      </c>
    </row>
    <row r="62" spans="1:12" ht="13" hidden="1" customHeight="1">
      <c r="A62" s="3" t="s">
        <v>71</v>
      </c>
      <c r="B62" s="5">
        <v>7</v>
      </c>
      <c r="E62" s="5">
        <v>4</v>
      </c>
      <c r="F62" s="5">
        <v>0</v>
      </c>
      <c r="G62" s="5">
        <v>0</v>
      </c>
      <c r="H62" s="5">
        <v>1</v>
      </c>
      <c r="I62" s="5">
        <v>0</v>
      </c>
      <c r="J62" s="5">
        <v>2</v>
      </c>
      <c r="K62" s="5">
        <v>0</v>
      </c>
      <c r="L62" s="5">
        <v>0</v>
      </c>
    </row>
    <row r="63" spans="1:12" ht="13" hidden="1" customHeight="1">
      <c r="A63" s="3" t="s">
        <v>72</v>
      </c>
      <c r="B63" s="5">
        <v>13</v>
      </c>
      <c r="E63" s="5">
        <v>1</v>
      </c>
      <c r="F63" s="5">
        <v>1</v>
      </c>
      <c r="G63" s="5">
        <v>4</v>
      </c>
      <c r="H63" s="5">
        <v>1</v>
      </c>
      <c r="I63" s="5">
        <v>0</v>
      </c>
      <c r="J63" s="5">
        <v>2</v>
      </c>
      <c r="K63" s="5">
        <v>1</v>
      </c>
      <c r="L63" s="5">
        <v>0</v>
      </c>
    </row>
    <row r="64" spans="1:12" ht="13" hidden="1" customHeight="1">
      <c r="A64" s="3" t="s">
        <v>73</v>
      </c>
      <c r="B64" s="5">
        <v>3612</v>
      </c>
      <c r="E64" s="5">
        <v>808</v>
      </c>
      <c r="F64" s="5">
        <v>774</v>
      </c>
      <c r="G64" s="5">
        <v>452</v>
      </c>
      <c r="H64" s="5">
        <v>384</v>
      </c>
      <c r="I64" s="5">
        <v>403</v>
      </c>
      <c r="J64" s="5">
        <v>395</v>
      </c>
      <c r="K64" s="5">
        <v>200</v>
      </c>
      <c r="L64" s="5">
        <v>101</v>
      </c>
    </row>
    <row r="65" spans="1:12" ht="13" hidden="1" customHeight="1">
      <c r="A65" s="3" t="s">
        <v>74</v>
      </c>
      <c r="B65" s="5">
        <v>1101</v>
      </c>
      <c r="E65" s="5">
        <v>238</v>
      </c>
      <c r="F65" s="5">
        <v>221</v>
      </c>
      <c r="G65" s="5">
        <v>126</v>
      </c>
      <c r="H65" s="5">
        <v>114</v>
      </c>
      <c r="I65" s="5">
        <v>141</v>
      </c>
      <c r="J65" s="5">
        <v>129</v>
      </c>
      <c r="K65" s="5">
        <v>67</v>
      </c>
      <c r="L65" s="5">
        <v>31</v>
      </c>
    </row>
    <row r="66" spans="1:12" ht="13" hidden="1" customHeight="1">
      <c r="A66" s="3" t="s">
        <v>75</v>
      </c>
      <c r="B66" s="5">
        <v>84</v>
      </c>
      <c r="E66" s="5">
        <v>12</v>
      </c>
      <c r="F66" s="5">
        <v>13</v>
      </c>
      <c r="G66" s="5">
        <v>9</v>
      </c>
      <c r="H66" s="5">
        <v>6</v>
      </c>
      <c r="I66" s="5">
        <v>6</v>
      </c>
      <c r="J66" s="5">
        <v>23</v>
      </c>
      <c r="K66" s="5">
        <v>7</v>
      </c>
      <c r="L66" s="5">
        <v>5</v>
      </c>
    </row>
    <row r="67" spans="1:12" ht="13" hidden="1" customHeight="1">
      <c r="A67" s="3" t="s">
        <v>76</v>
      </c>
      <c r="B67" s="5">
        <v>432</v>
      </c>
      <c r="E67" s="5">
        <v>48</v>
      </c>
      <c r="F67" s="5">
        <v>95</v>
      </c>
      <c r="G67" s="5">
        <v>61</v>
      </c>
      <c r="H67" s="5">
        <v>47</v>
      </c>
      <c r="I67" s="5">
        <v>62</v>
      </c>
      <c r="J67" s="5">
        <v>61</v>
      </c>
      <c r="K67" s="5">
        <v>29</v>
      </c>
      <c r="L67" s="5">
        <v>14</v>
      </c>
    </row>
    <row r="68" spans="1:12" ht="13" hidden="1" customHeight="1">
      <c r="A68" s="3" t="s">
        <v>77</v>
      </c>
      <c r="B68" s="5">
        <v>1193</v>
      </c>
      <c r="E68" s="5">
        <v>329</v>
      </c>
      <c r="F68" s="5">
        <v>277</v>
      </c>
      <c r="G68" s="5">
        <v>135</v>
      </c>
      <c r="H68" s="5">
        <v>122</v>
      </c>
      <c r="I68" s="5">
        <v>119</v>
      </c>
      <c r="J68" s="5">
        <v>102</v>
      </c>
      <c r="K68" s="5">
        <v>51</v>
      </c>
      <c r="L68" s="5">
        <v>28</v>
      </c>
    </row>
    <row r="69" spans="1:12" ht="13" hidden="1" customHeight="1">
      <c r="A69" s="3" t="s">
        <v>78</v>
      </c>
      <c r="B69" s="5">
        <v>757</v>
      </c>
      <c r="E69" s="5">
        <v>176</v>
      </c>
      <c r="F69" s="5">
        <v>155</v>
      </c>
      <c r="G69" s="5">
        <v>116</v>
      </c>
      <c r="H69" s="5">
        <v>91</v>
      </c>
      <c r="I69" s="5">
        <v>67</v>
      </c>
      <c r="J69" s="5">
        <v>76</v>
      </c>
      <c r="K69" s="5">
        <v>44</v>
      </c>
      <c r="L69" s="5">
        <v>22</v>
      </c>
    </row>
    <row r="70" spans="1:12" ht="13" hidden="1" customHeight="1">
      <c r="A70" s="3" t="s">
        <v>79</v>
      </c>
      <c r="B70" s="5">
        <v>45</v>
      </c>
      <c r="E70" s="5">
        <v>5</v>
      </c>
      <c r="F70" s="5">
        <v>13</v>
      </c>
      <c r="G70" s="5">
        <v>5</v>
      </c>
      <c r="H70" s="5">
        <v>4</v>
      </c>
      <c r="I70" s="5">
        <v>8</v>
      </c>
      <c r="J70" s="5">
        <v>4</v>
      </c>
      <c r="K70" s="5">
        <v>2</v>
      </c>
      <c r="L70" s="5">
        <v>1</v>
      </c>
    </row>
    <row r="71" spans="1:12" ht="13" hidden="1" customHeight="1">
      <c r="A71" s="3" t="s">
        <v>80</v>
      </c>
      <c r="B71" s="5">
        <v>356</v>
      </c>
      <c r="E71" s="5">
        <v>72</v>
      </c>
      <c r="F71" s="5">
        <v>54</v>
      </c>
      <c r="G71" s="5">
        <v>19</v>
      </c>
      <c r="H71" s="5">
        <v>16</v>
      </c>
      <c r="I71" s="5">
        <v>34</v>
      </c>
      <c r="J71" s="5">
        <v>38</v>
      </c>
      <c r="K71" s="5">
        <v>29</v>
      </c>
      <c r="L71" s="5">
        <v>25</v>
      </c>
    </row>
    <row r="72" spans="1:12" ht="13" hidden="1" customHeight="1">
      <c r="A72" s="3" t="s">
        <v>81</v>
      </c>
      <c r="B72" s="5">
        <v>138</v>
      </c>
      <c r="E72" s="5">
        <v>29</v>
      </c>
      <c r="F72" s="5">
        <v>24</v>
      </c>
      <c r="G72" s="5">
        <v>9</v>
      </c>
      <c r="H72" s="5">
        <v>6</v>
      </c>
      <c r="I72" s="5">
        <v>13</v>
      </c>
      <c r="J72" s="5">
        <v>17</v>
      </c>
      <c r="K72" s="5">
        <v>12</v>
      </c>
      <c r="L72" s="5">
        <v>5</v>
      </c>
    </row>
    <row r="73" spans="1:12" ht="13" hidden="1" customHeight="1">
      <c r="A73" s="3" t="s">
        <v>82</v>
      </c>
      <c r="B73" s="5">
        <v>218</v>
      </c>
      <c r="E73" s="5">
        <v>43</v>
      </c>
      <c r="F73" s="5">
        <v>30</v>
      </c>
      <c r="G73" s="5">
        <v>10</v>
      </c>
      <c r="H73" s="5">
        <v>10</v>
      </c>
      <c r="I73" s="5">
        <v>21</v>
      </c>
      <c r="J73" s="5">
        <v>21</v>
      </c>
      <c r="K73" s="5">
        <v>17</v>
      </c>
      <c r="L73" s="5">
        <v>20</v>
      </c>
    </row>
    <row r="74" spans="1:12" ht="13" hidden="1" customHeight="1">
      <c r="A74" s="3" t="s">
        <v>83</v>
      </c>
      <c r="B74" s="5">
        <v>4215</v>
      </c>
      <c r="E74" s="5">
        <v>894</v>
      </c>
      <c r="F74" s="5">
        <v>859</v>
      </c>
      <c r="G74" s="5">
        <v>577</v>
      </c>
      <c r="H74" s="5">
        <v>451</v>
      </c>
      <c r="I74" s="5">
        <v>527</v>
      </c>
      <c r="J74" s="5">
        <v>537</v>
      </c>
      <c r="K74" s="5">
        <v>195</v>
      </c>
      <c r="L74" s="5">
        <v>108</v>
      </c>
    </row>
    <row r="75" spans="1:12" ht="13" hidden="1" customHeight="1">
      <c r="A75" s="3" t="s">
        <v>84</v>
      </c>
      <c r="B75" s="5">
        <v>642</v>
      </c>
      <c r="E75" s="5">
        <v>135</v>
      </c>
      <c r="F75" s="5">
        <v>143</v>
      </c>
      <c r="G75" s="5">
        <v>92</v>
      </c>
      <c r="H75" s="5">
        <v>71</v>
      </c>
      <c r="I75" s="5">
        <v>65</v>
      </c>
      <c r="J75" s="5">
        <v>86</v>
      </c>
      <c r="K75" s="5">
        <v>27</v>
      </c>
      <c r="L75" s="5">
        <v>15</v>
      </c>
    </row>
    <row r="76" spans="1:12" ht="13" hidden="1" customHeight="1">
      <c r="A76" s="3" t="s">
        <v>85</v>
      </c>
      <c r="B76" s="5">
        <v>3573</v>
      </c>
      <c r="E76" s="5">
        <v>759</v>
      </c>
      <c r="F76" s="5">
        <v>716</v>
      </c>
      <c r="G76" s="5">
        <v>485</v>
      </c>
      <c r="H76" s="5">
        <v>380</v>
      </c>
      <c r="I76" s="5">
        <v>462</v>
      </c>
      <c r="J76" s="5">
        <v>451</v>
      </c>
      <c r="K76" s="5">
        <v>168</v>
      </c>
      <c r="L76" s="5">
        <v>93</v>
      </c>
    </row>
    <row r="77" spans="1:12" ht="13" hidden="1" customHeight="1">
      <c r="A77" s="3" t="s">
        <v>86</v>
      </c>
      <c r="B77" s="5">
        <v>7923</v>
      </c>
      <c r="E77" s="5">
        <v>2155</v>
      </c>
      <c r="F77" s="5">
        <v>2303</v>
      </c>
      <c r="G77" s="5">
        <v>1219</v>
      </c>
      <c r="H77" s="5">
        <v>687</v>
      </c>
      <c r="I77" s="5">
        <v>720</v>
      </c>
      <c r="J77" s="5">
        <v>536</v>
      </c>
      <c r="K77" s="5">
        <v>159</v>
      </c>
      <c r="L77" s="5">
        <v>71</v>
      </c>
    </row>
    <row r="78" spans="1:12" ht="13" hidden="1" customHeight="1">
      <c r="A78" s="3" t="s">
        <v>87</v>
      </c>
      <c r="B78" s="5">
        <v>993</v>
      </c>
      <c r="E78" s="5">
        <v>216</v>
      </c>
      <c r="F78" s="5">
        <v>275</v>
      </c>
      <c r="G78" s="5">
        <v>145</v>
      </c>
      <c r="H78" s="5">
        <v>94</v>
      </c>
      <c r="I78" s="5">
        <v>116</v>
      </c>
      <c r="J78" s="5">
        <v>92</v>
      </c>
      <c r="K78" s="5">
        <v>25</v>
      </c>
      <c r="L78" s="5">
        <v>12</v>
      </c>
    </row>
    <row r="79" spans="1:12" ht="13" hidden="1" customHeight="1">
      <c r="A79" s="3" t="s">
        <v>88</v>
      </c>
      <c r="B79" s="5">
        <v>79</v>
      </c>
      <c r="E79" s="5">
        <v>14</v>
      </c>
      <c r="F79" s="5">
        <v>15</v>
      </c>
      <c r="G79" s="5">
        <v>10</v>
      </c>
      <c r="H79" s="5">
        <v>7</v>
      </c>
      <c r="I79" s="5">
        <v>9</v>
      </c>
      <c r="J79" s="5">
        <v>12</v>
      </c>
      <c r="K79" s="5">
        <v>8</v>
      </c>
      <c r="L79" s="5">
        <v>3</v>
      </c>
    </row>
    <row r="80" spans="1:12" ht="13" hidden="1" customHeight="1">
      <c r="A80" s="3" t="s">
        <v>89</v>
      </c>
      <c r="B80" s="5">
        <v>477</v>
      </c>
      <c r="E80" s="5">
        <v>95</v>
      </c>
      <c r="F80" s="5">
        <v>96</v>
      </c>
      <c r="G80" s="5">
        <v>53</v>
      </c>
      <c r="H80" s="5">
        <v>47</v>
      </c>
      <c r="I80" s="5">
        <v>41</v>
      </c>
      <c r="J80" s="5">
        <v>68</v>
      </c>
      <c r="K80" s="5">
        <v>36</v>
      </c>
      <c r="L80" s="5">
        <v>22</v>
      </c>
    </row>
    <row r="81" spans="1:12" ht="13" hidden="1" customHeight="1">
      <c r="A81" s="3" t="s">
        <v>90</v>
      </c>
      <c r="B81" s="5">
        <v>835</v>
      </c>
      <c r="E81" s="5">
        <v>391</v>
      </c>
      <c r="F81" s="5">
        <v>228</v>
      </c>
      <c r="G81" s="5">
        <v>97</v>
      </c>
      <c r="H81" s="5">
        <v>44</v>
      </c>
      <c r="I81" s="5">
        <v>38</v>
      </c>
      <c r="J81" s="5">
        <v>27</v>
      </c>
      <c r="K81" s="5">
        <v>5</v>
      </c>
      <c r="L81" s="5">
        <v>2</v>
      </c>
    </row>
    <row r="82" spans="1:12" ht="13" hidden="1" customHeight="1">
      <c r="A82" s="3" t="s">
        <v>91</v>
      </c>
      <c r="B82" s="5">
        <v>125</v>
      </c>
      <c r="E82" s="5">
        <v>21</v>
      </c>
      <c r="F82" s="5">
        <v>25</v>
      </c>
      <c r="G82" s="5">
        <v>17</v>
      </c>
      <c r="H82" s="5">
        <v>16</v>
      </c>
      <c r="I82" s="5">
        <v>17</v>
      </c>
      <c r="J82" s="5">
        <v>11</v>
      </c>
      <c r="K82" s="5">
        <v>9</v>
      </c>
      <c r="L82" s="5">
        <v>2</v>
      </c>
    </row>
    <row r="83" spans="1:12" ht="13" hidden="1" customHeight="1">
      <c r="A83" s="3" t="s">
        <v>92</v>
      </c>
      <c r="B83" s="5">
        <v>1946</v>
      </c>
      <c r="E83" s="5">
        <v>408</v>
      </c>
      <c r="F83" s="5">
        <v>452</v>
      </c>
      <c r="G83" s="5">
        <v>296</v>
      </c>
      <c r="H83" s="5">
        <v>221</v>
      </c>
      <c r="I83" s="5">
        <v>297</v>
      </c>
      <c r="J83" s="5">
        <v>195</v>
      </c>
      <c r="K83" s="5">
        <v>46</v>
      </c>
      <c r="L83" s="5">
        <v>20</v>
      </c>
    </row>
    <row r="84" spans="1:12" ht="13" hidden="1" customHeight="1">
      <c r="A84" s="3" t="s">
        <v>93</v>
      </c>
      <c r="B84" s="5">
        <v>3194</v>
      </c>
      <c r="E84" s="5">
        <v>956</v>
      </c>
      <c r="F84" s="5">
        <v>1148</v>
      </c>
      <c r="G84" s="5">
        <v>572</v>
      </c>
      <c r="H84" s="5">
        <v>221</v>
      </c>
      <c r="I84" s="5">
        <v>176</v>
      </c>
      <c r="J84" s="5">
        <v>92</v>
      </c>
      <c r="K84" s="5">
        <v>18</v>
      </c>
      <c r="L84" s="5">
        <v>6</v>
      </c>
    </row>
    <row r="85" spans="1:12" ht="13" hidden="1" customHeight="1">
      <c r="A85" s="3" t="s">
        <v>94</v>
      </c>
      <c r="B85" s="5">
        <v>274</v>
      </c>
      <c r="E85" s="5">
        <v>54</v>
      </c>
      <c r="F85" s="5">
        <v>64</v>
      </c>
      <c r="G85" s="5">
        <v>29</v>
      </c>
      <c r="H85" s="5">
        <v>37</v>
      </c>
      <c r="I85" s="5">
        <v>26</v>
      </c>
      <c r="J85" s="5">
        <v>39</v>
      </c>
      <c r="K85" s="5">
        <v>12</v>
      </c>
      <c r="L85" s="5">
        <v>4</v>
      </c>
    </row>
    <row r="86" spans="1:12" ht="13" hidden="1" customHeight="1">
      <c r="A86" s="3" t="s">
        <v>95</v>
      </c>
      <c r="B86" s="5">
        <v>1415</v>
      </c>
      <c r="E86" s="5">
        <v>190</v>
      </c>
      <c r="F86" s="5">
        <v>292</v>
      </c>
      <c r="G86" s="5">
        <v>239</v>
      </c>
      <c r="H86" s="5">
        <v>179</v>
      </c>
      <c r="I86" s="5">
        <v>187</v>
      </c>
      <c r="J86" s="5">
        <v>150</v>
      </c>
      <c r="K86" s="5">
        <v>78</v>
      </c>
      <c r="L86" s="5">
        <v>45</v>
      </c>
    </row>
    <row r="87" spans="1:12" ht="13" hidden="1" customHeight="1">
      <c r="A87" s="3" t="s">
        <v>96</v>
      </c>
      <c r="B87" s="5">
        <v>278</v>
      </c>
      <c r="E87" s="5">
        <v>24</v>
      </c>
      <c r="F87" s="5">
        <v>72</v>
      </c>
      <c r="G87" s="5">
        <v>51</v>
      </c>
      <c r="H87" s="5">
        <v>37</v>
      </c>
      <c r="I87" s="5">
        <v>31</v>
      </c>
      <c r="J87" s="5">
        <v>27</v>
      </c>
      <c r="K87" s="5">
        <v>18</v>
      </c>
      <c r="L87" s="5">
        <v>5</v>
      </c>
    </row>
    <row r="88" spans="1:12" ht="13" hidden="1" customHeight="1">
      <c r="A88" s="3" t="s">
        <v>97</v>
      </c>
      <c r="B88" s="5">
        <v>131</v>
      </c>
      <c r="E88" s="5">
        <v>13</v>
      </c>
      <c r="F88" s="5">
        <v>16</v>
      </c>
      <c r="G88" s="5">
        <v>14</v>
      </c>
      <c r="H88" s="5">
        <v>18</v>
      </c>
      <c r="I88" s="5">
        <v>28</v>
      </c>
      <c r="J88" s="5">
        <v>17</v>
      </c>
      <c r="K88" s="5">
        <v>13</v>
      </c>
      <c r="L88" s="5">
        <v>5</v>
      </c>
    </row>
    <row r="89" spans="1:12" ht="13" hidden="1" customHeight="1">
      <c r="A89" s="3" t="s">
        <v>98</v>
      </c>
      <c r="B89" s="5">
        <v>344</v>
      </c>
      <c r="E89" s="5">
        <v>31</v>
      </c>
      <c r="F89" s="5">
        <v>81</v>
      </c>
      <c r="G89" s="5">
        <v>80</v>
      </c>
      <c r="H89" s="5">
        <v>66</v>
      </c>
      <c r="I89" s="5">
        <v>38</v>
      </c>
      <c r="J89" s="5">
        <v>35</v>
      </c>
      <c r="K89" s="5">
        <v>9</v>
      </c>
      <c r="L89" s="5">
        <v>4</v>
      </c>
    </row>
    <row r="90" spans="1:12" ht="13" hidden="1" customHeight="1">
      <c r="A90" s="3" t="s">
        <v>99</v>
      </c>
      <c r="B90" s="5">
        <v>198</v>
      </c>
      <c r="E90" s="5">
        <v>41</v>
      </c>
      <c r="F90" s="5">
        <v>35</v>
      </c>
      <c r="G90" s="5">
        <v>19</v>
      </c>
      <c r="H90" s="5">
        <v>13</v>
      </c>
      <c r="I90" s="5">
        <v>23</v>
      </c>
      <c r="J90" s="5">
        <v>19</v>
      </c>
      <c r="K90" s="5">
        <v>13</v>
      </c>
      <c r="L90" s="5">
        <v>16</v>
      </c>
    </row>
    <row r="91" spans="1:12" ht="13" hidden="1" customHeight="1">
      <c r="A91" s="3" t="s">
        <v>100</v>
      </c>
      <c r="B91" s="5">
        <v>464</v>
      </c>
      <c r="E91" s="5">
        <v>81</v>
      </c>
      <c r="F91" s="5">
        <v>88</v>
      </c>
      <c r="G91" s="5">
        <v>75</v>
      </c>
      <c r="H91" s="5">
        <v>45</v>
      </c>
      <c r="I91" s="5">
        <v>67</v>
      </c>
      <c r="J91" s="5">
        <v>52</v>
      </c>
      <c r="K91" s="5">
        <v>25</v>
      </c>
      <c r="L91" s="5">
        <v>15</v>
      </c>
    </row>
    <row r="92" spans="1:12" ht="13" hidden="1" customHeight="1">
      <c r="A92" s="3" t="s">
        <v>101</v>
      </c>
      <c r="B92" s="5">
        <v>32570</v>
      </c>
      <c r="E92" s="5">
        <v>9843</v>
      </c>
      <c r="F92" s="5">
        <v>9993</v>
      </c>
      <c r="G92" s="5">
        <v>4812</v>
      </c>
      <c r="H92" s="5">
        <v>2885</v>
      </c>
      <c r="I92" s="5">
        <v>2530</v>
      </c>
      <c r="J92" s="5">
        <v>1862</v>
      </c>
      <c r="K92" s="5">
        <v>395</v>
      </c>
      <c r="L92" s="5">
        <v>154</v>
      </c>
    </row>
    <row r="93" spans="1:12" ht="13" hidden="1" customHeight="1">
      <c r="A93" s="3" t="s">
        <v>102</v>
      </c>
      <c r="B93" s="5">
        <v>18318</v>
      </c>
      <c r="E93" s="5">
        <v>5754</v>
      </c>
      <c r="F93" s="5">
        <v>6346</v>
      </c>
      <c r="G93" s="5">
        <v>2774</v>
      </c>
      <c r="H93" s="5">
        <v>1459</v>
      </c>
      <c r="I93" s="5">
        <v>1098</v>
      </c>
      <c r="J93" s="5">
        <v>679</v>
      </c>
      <c r="K93" s="5">
        <v>136</v>
      </c>
      <c r="L93" s="5">
        <v>46</v>
      </c>
    </row>
    <row r="94" spans="1:12" ht="13" hidden="1" customHeight="1">
      <c r="A94" s="3" t="s">
        <v>103</v>
      </c>
      <c r="B94" s="5">
        <v>777</v>
      </c>
      <c r="E94" s="5">
        <v>151</v>
      </c>
      <c r="F94" s="5">
        <v>143</v>
      </c>
      <c r="G94" s="5">
        <v>102</v>
      </c>
      <c r="H94" s="5">
        <v>91</v>
      </c>
      <c r="I94" s="5">
        <v>124</v>
      </c>
      <c r="J94" s="5">
        <v>119</v>
      </c>
      <c r="K94" s="5">
        <v>31</v>
      </c>
      <c r="L94" s="5">
        <v>10</v>
      </c>
    </row>
    <row r="95" spans="1:12" ht="13" hidden="1" customHeight="1">
      <c r="A95" s="3" t="s">
        <v>104</v>
      </c>
      <c r="B95" s="5">
        <v>46</v>
      </c>
      <c r="E95" s="5">
        <v>8</v>
      </c>
      <c r="F95" s="5">
        <v>5</v>
      </c>
      <c r="G95" s="5">
        <v>1</v>
      </c>
      <c r="H95" s="5">
        <v>8</v>
      </c>
      <c r="I95" s="5">
        <v>7</v>
      </c>
      <c r="J95" s="5">
        <v>10</v>
      </c>
      <c r="K95" s="5">
        <v>4</v>
      </c>
      <c r="L95" s="5">
        <v>2</v>
      </c>
    </row>
    <row r="96" spans="1:12" ht="13" hidden="1" customHeight="1">
      <c r="A96" s="3" t="s">
        <v>105</v>
      </c>
      <c r="B96" s="5">
        <v>43</v>
      </c>
      <c r="E96" s="5">
        <v>10</v>
      </c>
      <c r="F96" s="5">
        <v>11</v>
      </c>
      <c r="G96" s="5">
        <v>1</v>
      </c>
      <c r="H96" s="5">
        <v>3</v>
      </c>
      <c r="I96" s="5">
        <v>7</v>
      </c>
      <c r="J96" s="5">
        <v>5</v>
      </c>
      <c r="K96" s="5">
        <v>1</v>
      </c>
      <c r="L96" s="5">
        <v>4</v>
      </c>
    </row>
    <row r="97" spans="1:12" ht="13" hidden="1" customHeight="1">
      <c r="A97" s="3" t="s">
        <v>106</v>
      </c>
      <c r="B97" s="5">
        <v>1378</v>
      </c>
      <c r="E97" s="5">
        <v>297</v>
      </c>
      <c r="F97" s="5">
        <v>335</v>
      </c>
      <c r="G97" s="5">
        <v>201</v>
      </c>
      <c r="H97" s="5">
        <v>161</v>
      </c>
      <c r="I97" s="5">
        <v>153</v>
      </c>
      <c r="J97" s="5">
        <v>148</v>
      </c>
      <c r="K97" s="5">
        <v>40</v>
      </c>
      <c r="L97" s="5">
        <v>18</v>
      </c>
    </row>
    <row r="98" spans="1:12" ht="13" hidden="1" customHeight="1">
      <c r="A98" s="3" t="s">
        <v>107</v>
      </c>
      <c r="B98" s="5">
        <v>6563</v>
      </c>
      <c r="E98" s="5">
        <v>2070</v>
      </c>
      <c r="F98" s="5">
        <v>1592</v>
      </c>
      <c r="G98" s="5">
        <v>905</v>
      </c>
      <c r="H98" s="5">
        <v>644</v>
      </c>
      <c r="I98" s="5">
        <v>680</v>
      </c>
      <c r="J98" s="5">
        <v>523</v>
      </c>
      <c r="K98" s="5">
        <v>99</v>
      </c>
      <c r="L98" s="5">
        <v>37</v>
      </c>
    </row>
    <row r="99" spans="1:12" ht="13" hidden="1" customHeight="1">
      <c r="A99" s="3" t="s">
        <v>108</v>
      </c>
      <c r="B99" s="5">
        <v>2671</v>
      </c>
      <c r="E99" s="5">
        <v>815</v>
      </c>
      <c r="F99" s="5">
        <v>802</v>
      </c>
      <c r="G99" s="5">
        <v>410</v>
      </c>
      <c r="H99" s="5">
        <v>257</v>
      </c>
      <c r="I99" s="5">
        <v>195</v>
      </c>
      <c r="J99" s="5">
        <v>148</v>
      </c>
      <c r="K99" s="5">
        <v>28</v>
      </c>
      <c r="L99" s="5">
        <v>6</v>
      </c>
    </row>
    <row r="100" spans="1:12" ht="13" hidden="1" customHeight="1">
      <c r="A100" s="3" t="s">
        <v>109</v>
      </c>
      <c r="B100" s="5">
        <v>2774</v>
      </c>
      <c r="E100" s="5">
        <v>738</v>
      </c>
      <c r="F100" s="5">
        <v>759</v>
      </c>
      <c r="G100" s="5">
        <v>418</v>
      </c>
      <c r="H100" s="5">
        <v>262</v>
      </c>
      <c r="I100" s="5">
        <v>266</v>
      </c>
      <c r="J100" s="5">
        <v>230</v>
      </c>
      <c r="K100" s="5">
        <v>56</v>
      </c>
      <c r="L100" s="5">
        <v>31</v>
      </c>
    </row>
    <row r="101" spans="1:12" ht="13" hidden="1" customHeight="1">
      <c r="A101" s="3" t="s">
        <v>110</v>
      </c>
      <c r="B101" s="5">
        <v>2328</v>
      </c>
      <c r="E101" s="5">
        <v>919</v>
      </c>
      <c r="F101" s="5">
        <v>532</v>
      </c>
      <c r="G101" s="5">
        <v>241</v>
      </c>
      <c r="H101" s="5">
        <v>183</v>
      </c>
      <c r="I101" s="5">
        <v>202</v>
      </c>
      <c r="J101" s="5">
        <v>139</v>
      </c>
      <c r="K101" s="5">
        <v>58</v>
      </c>
      <c r="L101" s="5">
        <v>27</v>
      </c>
    </row>
    <row r="102" spans="1:12" ht="13" hidden="1" customHeight="1">
      <c r="A102" s="3" t="s">
        <v>111</v>
      </c>
      <c r="B102" s="5">
        <v>653</v>
      </c>
      <c r="E102" s="5">
        <v>208</v>
      </c>
      <c r="F102" s="5">
        <v>142</v>
      </c>
      <c r="G102" s="5">
        <v>80</v>
      </c>
      <c r="H102" s="5">
        <v>72</v>
      </c>
      <c r="I102" s="5">
        <v>67</v>
      </c>
      <c r="J102" s="5">
        <v>47</v>
      </c>
      <c r="K102" s="5">
        <v>21</v>
      </c>
      <c r="L102" s="5">
        <v>8</v>
      </c>
    </row>
    <row r="103" spans="1:12" ht="13" hidden="1" customHeight="1">
      <c r="A103" s="3" t="s">
        <v>112</v>
      </c>
      <c r="B103" s="5">
        <v>530</v>
      </c>
      <c r="E103" s="5">
        <v>343</v>
      </c>
      <c r="F103" s="5">
        <v>122</v>
      </c>
      <c r="G103" s="5">
        <v>34</v>
      </c>
      <c r="H103" s="5">
        <v>17</v>
      </c>
      <c r="I103" s="5">
        <v>7</v>
      </c>
      <c r="J103" s="5">
        <v>5</v>
      </c>
      <c r="K103" s="5">
        <v>2</v>
      </c>
      <c r="L103" s="5">
        <v>0</v>
      </c>
    </row>
    <row r="104" spans="1:12" ht="13" hidden="1" customHeight="1">
      <c r="A104" s="3" t="s">
        <v>113</v>
      </c>
      <c r="B104" s="5">
        <v>168</v>
      </c>
      <c r="E104" s="5">
        <v>45</v>
      </c>
      <c r="F104" s="5">
        <v>26</v>
      </c>
      <c r="G104" s="5">
        <v>21</v>
      </c>
      <c r="H104" s="5">
        <v>17</v>
      </c>
      <c r="I104" s="5">
        <v>22</v>
      </c>
      <c r="J104" s="5">
        <v>13</v>
      </c>
      <c r="K104" s="5">
        <v>10</v>
      </c>
      <c r="L104" s="5">
        <v>5</v>
      </c>
    </row>
    <row r="105" spans="1:12" ht="13" hidden="1" customHeight="1">
      <c r="A105" s="3" t="s">
        <v>114</v>
      </c>
      <c r="B105" s="5">
        <v>113</v>
      </c>
      <c r="E105" s="5">
        <v>33</v>
      </c>
      <c r="F105" s="5">
        <v>32</v>
      </c>
      <c r="G105" s="5">
        <v>14</v>
      </c>
      <c r="H105" s="5">
        <v>9</v>
      </c>
      <c r="I105" s="5">
        <v>12</v>
      </c>
      <c r="J105" s="5">
        <v>9</v>
      </c>
      <c r="K105" s="5">
        <v>2</v>
      </c>
      <c r="L105" s="5">
        <v>1</v>
      </c>
    </row>
    <row r="106" spans="1:12" ht="13" hidden="1" customHeight="1">
      <c r="A106" s="3" t="s">
        <v>115</v>
      </c>
      <c r="B106" s="5">
        <v>654</v>
      </c>
      <c r="E106" s="5">
        <v>236</v>
      </c>
      <c r="F106" s="5">
        <v>149</v>
      </c>
      <c r="G106" s="5">
        <v>61</v>
      </c>
      <c r="H106" s="5">
        <v>46</v>
      </c>
      <c r="I106" s="5">
        <v>78</v>
      </c>
      <c r="J106" s="5">
        <v>48</v>
      </c>
      <c r="K106" s="5">
        <v>18</v>
      </c>
      <c r="L106" s="5">
        <v>12</v>
      </c>
    </row>
    <row r="107" spans="1:12" ht="13" hidden="1" customHeight="1">
      <c r="A107" s="3" t="s">
        <v>116</v>
      </c>
      <c r="B107" s="5">
        <v>132</v>
      </c>
      <c r="E107" s="5">
        <v>44</v>
      </c>
      <c r="F107" s="5">
        <v>30</v>
      </c>
      <c r="G107" s="5">
        <v>15</v>
      </c>
      <c r="H107" s="5">
        <v>14</v>
      </c>
      <c r="I107" s="5">
        <v>12</v>
      </c>
      <c r="J107" s="5">
        <v>10</v>
      </c>
      <c r="K107" s="5">
        <v>4</v>
      </c>
      <c r="L107" s="5">
        <v>1</v>
      </c>
    </row>
    <row r="108" spans="1:12" ht="13" hidden="1" customHeight="1">
      <c r="A108" s="3" t="s">
        <v>117</v>
      </c>
      <c r="B108" s="5">
        <v>76</v>
      </c>
      <c r="E108" s="5">
        <v>10</v>
      </c>
      <c r="F108" s="5">
        <v>30</v>
      </c>
      <c r="G108" s="5">
        <v>15</v>
      </c>
      <c r="H108" s="5">
        <v>8</v>
      </c>
      <c r="I108" s="5">
        <v>4</v>
      </c>
      <c r="J108" s="5">
        <v>7</v>
      </c>
      <c r="K108" s="5">
        <v>1</v>
      </c>
      <c r="L108" s="5">
        <v>0</v>
      </c>
    </row>
    <row r="109" spans="1:12" ht="13" hidden="1" customHeight="1">
      <c r="A109" s="3" t="s">
        <v>118</v>
      </c>
      <c r="B109" s="5">
        <v>2</v>
      </c>
      <c r="E109" s="5">
        <v>0</v>
      </c>
      <c r="F109" s="5">
        <v>1</v>
      </c>
      <c r="G109" s="5">
        <v>1</v>
      </c>
      <c r="H109" s="5">
        <v>0</v>
      </c>
      <c r="I109" s="5">
        <v>0</v>
      </c>
      <c r="J109" s="5">
        <v>0</v>
      </c>
      <c r="K109" s="5">
        <v>0</v>
      </c>
      <c r="L109" s="5">
        <v>0</v>
      </c>
    </row>
    <row r="110" spans="1:12" ht="13" hidden="1" customHeight="1">
      <c r="A110" s="3" t="s">
        <v>119</v>
      </c>
      <c r="B110" s="5">
        <v>1923</v>
      </c>
      <c r="E110" s="5">
        <v>447</v>
      </c>
      <c r="F110" s="5">
        <v>455</v>
      </c>
      <c r="G110" s="5">
        <v>235</v>
      </c>
      <c r="H110" s="5">
        <v>179</v>
      </c>
      <c r="I110" s="5">
        <v>230</v>
      </c>
      <c r="J110" s="5">
        <v>187</v>
      </c>
      <c r="K110" s="5">
        <v>90</v>
      </c>
      <c r="L110" s="5">
        <v>54</v>
      </c>
    </row>
    <row r="111" spans="1:12" ht="13" hidden="1" customHeight="1">
      <c r="A111" s="3" t="s">
        <v>120</v>
      </c>
      <c r="B111" s="5">
        <v>648</v>
      </c>
      <c r="E111" s="5">
        <v>200</v>
      </c>
      <c r="F111" s="5">
        <v>145</v>
      </c>
      <c r="G111" s="5">
        <v>51</v>
      </c>
      <c r="H111" s="5">
        <v>48</v>
      </c>
      <c r="I111" s="5">
        <v>68</v>
      </c>
      <c r="J111" s="5">
        <v>65</v>
      </c>
      <c r="K111" s="5">
        <v>33</v>
      </c>
      <c r="L111" s="5">
        <v>20</v>
      </c>
    </row>
    <row r="112" spans="1:12" ht="13" hidden="1" customHeight="1">
      <c r="A112" s="3" t="s">
        <v>121</v>
      </c>
      <c r="B112" s="5">
        <v>27</v>
      </c>
      <c r="E112" s="5">
        <v>10</v>
      </c>
      <c r="F112" s="5">
        <v>6</v>
      </c>
      <c r="G112" s="5">
        <v>2</v>
      </c>
      <c r="H112" s="5">
        <v>3</v>
      </c>
      <c r="I112" s="5">
        <v>0</v>
      </c>
      <c r="J112" s="5">
        <v>3</v>
      </c>
      <c r="K112" s="5">
        <v>1</v>
      </c>
      <c r="L112" s="5">
        <v>0</v>
      </c>
    </row>
    <row r="113" spans="1:12" ht="13" hidden="1" customHeight="1">
      <c r="A113" s="3" t="s">
        <v>122</v>
      </c>
      <c r="B113" s="5">
        <v>174</v>
      </c>
      <c r="E113" s="5">
        <v>41</v>
      </c>
      <c r="F113" s="5">
        <v>29</v>
      </c>
      <c r="G113" s="5">
        <v>17</v>
      </c>
      <c r="H113" s="5">
        <v>14</v>
      </c>
      <c r="I113" s="5">
        <v>25</v>
      </c>
      <c r="J113" s="5">
        <v>21</v>
      </c>
      <c r="K113" s="5">
        <v>12</v>
      </c>
      <c r="L113" s="5">
        <v>9</v>
      </c>
    </row>
    <row r="114" spans="1:12" ht="13" hidden="1" customHeight="1">
      <c r="A114" s="3" t="s">
        <v>123</v>
      </c>
      <c r="B114" s="5">
        <v>502</v>
      </c>
      <c r="E114" s="5">
        <v>115</v>
      </c>
      <c r="F114" s="5">
        <v>156</v>
      </c>
      <c r="G114" s="5">
        <v>67</v>
      </c>
      <c r="H114" s="5">
        <v>51</v>
      </c>
      <c r="I114" s="5">
        <v>48</v>
      </c>
      <c r="J114" s="5">
        <v>35</v>
      </c>
      <c r="K114" s="5">
        <v>15</v>
      </c>
      <c r="L114" s="5">
        <v>7</v>
      </c>
    </row>
    <row r="115" spans="1:12" ht="13" hidden="1" customHeight="1">
      <c r="A115" s="3" t="s">
        <v>124</v>
      </c>
      <c r="B115" s="5">
        <v>197</v>
      </c>
      <c r="E115" s="5">
        <v>58</v>
      </c>
      <c r="F115" s="5">
        <v>44</v>
      </c>
      <c r="G115" s="5">
        <v>19</v>
      </c>
      <c r="H115" s="5">
        <v>20</v>
      </c>
      <c r="I115" s="5">
        <v>17</v>
      </c>
      <c r="J115" s="5">
        <v>16</v>
      </c>
      <c r="K115" s="5">
        <v>10</v>
      </c>
      <c r="L115" s="5">
        <v>7</v>
      </c>
    </row>
    <row r="116" spans="1:12" ht="13" hidden="1" customHeight="1">
      <c r="A116" s="3" t="s">
        <v>125</v>
      </c>
      <c r="B116" s="5">
        <v>375</v>
      </c>
      <c r="E116" s="5">
        <v>23</v>
      </c>
      <c r="F116" s="5">
        <v>75</v>
      </c>
      <c r="G116" s="5">
        <v>79</v>
      </c>
      <c r="H116" s="5">
        <v>43</v>
      </c>
      <c r="I116" s="5">
        <v>72</v>
      </c>
      <c r="J116" s="5">
        <v>47</v>
      </c>
      <c r="K116" s="5">
        <v>19</v>
      </c>
      <c r="L116" s="5">
        <v>11</v>
      </c>
    </row>
    <row r="117" spans="1:12" ht="13" hidden="1" customHeight="1">
      <c r="A117" s="3" t="s">
        <v>126</v>
      </c>
      <c r="B117" s="5">
        <v>5996</v>
      </c>
      <c r="E117" s="5">
        <v>958</v>
      </c>
      <c r="F117" s="5">
        <v>1415</v>
      </c>
      <c r="G117" s="5">
        <v>893</v>
      </c>
      <c r="H117" s="5">
        <v>707</v>
      </c>
      <c r="I117" s="5">
        <v>835</v>
      </c>
      <c r="J117" s="5">
        <v>786</v>
      </c>
      <c r="K117" s="5">
        <v>217</v>
      </c>
      <c r="L117" s="5">
        <v>102</v>
      </c>
    </row>
    <row r="118" spans="1:12" ht="13" hidden="1" customHeight="1">
      <c r="A118" s="3" t="s">
        <v>127</v>
      </c>
      <c r="B118" s="5">
        <v>563</v>
      </c>
      <c r="E118" s="5">
        <v>70</v>
      </c>
      <c r="F118" s="5">
        <v>104</v>
      </c>
      <c r="G118" s="5">
        <v>74</v>
      </c>
      <c r="H118" s="5">
        <v>68</v>
      </c>
      <c r="I118" s="5">
        <v>85</v>
      </c>
      <c r="J118" s="5">
        <v>81</v>
      </c>
      <c r="K118" s="5">
        <v>41</v>
      </c>
      <c r="L118" s="5">
        <v>23</v>
      </c>
    </row>
    <row r="119" spans="1:12" ht="13" hidden="1" customHeight="1">
      <c r="A119" s="3" t="s">
        <v>128</v>
      </c>
      <c r="B119" s="5">
        <v>1879</v>
      </c>
      <c r="E119" s="5">
        <v>389</v>
      </c>
      <c r="F119" s="5">
        <v>382</v>
      </c>
      <c r="G119" s="5">
        <v>246</v>
      </c>
      <c r="H119" s="5">
        <v>215</v>
      </c>
      <c r="I119" s="5">
        <v>253</v>
      </c>
      <c r="J119" s="5">
        <v>253</v>
      </c>
      <c r="K119" s="5">
        <v>61</v>
      </c>
      <c r="L119" s="5">
        <v>38</v>
      </c>
    </row>
    <row r="120" spans="1:12" ht="13" hidden="1" customHeight="1">
      <c r="A120" s="3" t="s">
        <v>129</v>
      </c>
      <c r="B120" s="5">
        <v>704</v>
      </c>
      <c r="E120" s="5">
        <v>140</v>
      </c>
      <c r="F120" s="5">
        <v>189</v>
      </c>
      <c r="G120" s="5">
        <v>96</v>
      </c>
      <c r="H120" s="5">
        <v>84</v>
      </c>
      <c r="I120" s="5">
        <v>98</v>
      </c>
      <c r="J120" s="5">
        <v>68</v>
      </c>
      <c r="K120" s="5">
        <v>21</v>
      </c>
      <c r="L120" s="5">
        <v>4</v>
      </c>
    </row>
    <row r="121" spans="1:12" ht="13" hidden="1" customHeight="1">
      <c r="A121" s="3" t="s">
        <v>130</v>
      </c>
      <c r="B121" s="5">
        <v>542</v>
      </c>
      <c r="E121" s="5">
        <v>68</v>
      </c>
      <c r="F121" s="5">
        <v>154</v>
      </c>
      <c r="G121" s="5">
        <v>87</v>
      </c>
      <c r="H121" s="5">
        <v>55</v>
      </c>
      <c r="I121" s="5">
        <v>67</v>
      </c>
      <c r="J121" s="5">
        <v>76</v>
      </c>
      <c r="K121" s="5">
        <v>20</v>
      </c>
      <c r="L121" s="5">
        <v>8</v>
      </c>
    </row>
    <row r="122" spans="1:12" ht="13" hidden="1" customHeight="1">
      <c r="A122" s="3" t="s">
        <v>131</v>
      </c>
      <c r="B122" s="5">
        <v>2308</v>
      </c>
      <c r="E122" s="5">
        <v>291</v>
      </c>
      <c r="F122" s="5">
        <v>586</v>
      </c>
      <c r="G122" s="5">
        <v>390</v>
      </c>
      <c r="H122" s="5">
        <v>285</v>
      </c>
      <c r="I122" s="5">
        <v>332</v>
      </c>
      <c r="J122" s="5">
        <v>308</v>
      </c>
      <c r="K122" s="5">
        <v>74</v>
      </c>
      <c r="L122" s="5">
        <v>29</v>
      </c>
    </row>
    <row r="123" spans="1:12" ht="13" hidden="1" customHeight="1">
      <c r="A123" s="3" t="s">
        <v>132</v>
      </c>
      <c r="B123" s="5">
        <v>1615</v>
      </c>
      <c r="E123" s="5">
        <v>343</v>
      </c>
      <c r="F123" s="5">
        <v>290</v>
      </c>
      <c r="G123" s="5">
        <v>219</v>
      </c>
      <c r="H123" s="5">
        <v>168</v>
      </c>
      <c r="I123" s="5">
        <v>196</v>
      </c>
      <c r="J123" s="5">
        <v>163</v>
      </c>
      <c r="K123" s="5">
        <v>71</v>
      </c>
      <c r="L123" s="5">
        <v>69</v>
      </c>
    </row>
    <row r="124" spans="1:12" ht="13" hidden="1" customHeight="1">
      <c r="A124" s="3" t="s">
        <v>133</v>
      </c>
      <c r="B124" s="5">
        <v>119</v>
      </c>
      <c r="E124" s="5">
        <v>50</v>
      </c>
      <c r="F124" s="5">
        <v>25</v>
      </c>
      <c r="G124" s="5">
        <v>11</v>
      </c>
      <c r="H124" s="5">
        <v>8</v>
      </c>
      <c r="I124" s="5">
        <v>5</v>
      </c>
      <c r="J124" s="5">
        <v>4</v>
      </c>
      <c r="K124" s="5">
        <v>3</v>
      </c>
      <c r="L124" s="5">
        <v>4</v>
      </c>
    </row>
    <row r="125" spans="1:12" ht="13" hidden="1" customHeight="1">
      <c r="A125" s="3" t="s">
        <v>134</v>
      </c>
      <c r="B125" s="5">
        <v>686</v>
      </c>
      <c r="E125" s="5">
        <v>127</v>
      </c>
      <c r="F125" s="5">
        <v>129</v>
      </c>
      <c r="G125" s="5">
        <v>115</v>
      </c>
      <c r="H125" s="5">
        <v>105</v>
      </c>
      <c r="I125" s="5">
        <v>105</v>
      </c>
      <c r="J125" s="5">
        <v>66</v>
      </c>
      <c r="K125" s="5">
        <v>20</v>
      </c>
      <c r="L125" s="5">
        <v>11</v>
      </c>
    </row>
    <row r="126" spans="1:12" ht="13" hidden="1" customHeight="1">
      <c r="A126" s="3" t="s">
        <v>135</v>
      </c>
      <c r="B126" s="5">
        <v>810</v>
      </c>
      <c r="E126" s="5">
        <v>166</v>
      </c>
      <c r="F126" s="5">
        <v>136</v>
      </c>
      <c r="G126" s="5">
        <v>93</v>
      </c>
      <c r="H126" s="5">
        <v>55</v>
      </c>
      <c r="I126" s="5">
        <v>86</v>
      </c>
      <c r="J126" s="5">
        <v>93</v>
      </c>
      <c r="K126" s="5">
        <v>48</v>
      </c>
      <c r="L126" s="5">
        <v>54</v>
      </c>
    </row>
    <row r="127" spans="1:12" ht="13" hidden="1" customHeight="1">
      <c r="A127" s="3" t="s">
        <v>136</v>
      </c>
      <c r="B127" s="5">
        <v>911</v>
      </c>
      <c r="E127" s="5">
        <v>251</v>
      </c>
      <c r="F127" s="5">
        <v>222</v>
      </c>
      <c r="G127" s="5">
        <v>117</v>
      </c>
      <c r="H127" s="5">
        <v>92</v>
      </c>
      <c r="I127" s="5">
        <v>75</v>
      </c>
      <c r="J127" s="5">
        <v>72</v>
      </c>
      <c r="K127" s="5">
        <v>29</v>
      </c>
      <c r="L127" s="5">
        <v>27</v>
      </c>
    </row>
    <row r="128" spans="1:12" ht="13" hidden="1" customHeight="1">
      <c r="A128" s="3" t="s">
        <v>137</v>
      </c>
      <c r="B128" s="5">
        <v>541</v>
      </c>
      <c r="E128" s="5">
        <v>143</v>
      </c>
      <c r="F128" s="5">
        <v>157</v>
      </c>
      <c r="G128" s="5">
        <v>77</v>
      </c>
      <c r="H128" s="5">
        <v>68</v>
      </c>
      <c r="I128" s="5">
        <v>41</v>
      </c>
      <c r="J128" s="5">
        <v>30</v>
      </c>
      <c r="K128" s="5">
        <v>12</v>
      </c>
      <c r="L128" s="5">
        <v>10</v>
      </c>
    </row>
    <row r="129" spans="1:12" ht="13" hidden="1" customHeight="1">
      <c r="A129" s="3" t="s">
        <v>138</v>
      </c>
      <c r="B129" s="5">
        <v>73</v>
      </c>
      <c r="E129" s="5">
        <v>17</v>
      </c>
      <c r="F129" s="5">
        <v>9</v>
      </c>
      <c r="G129" s="5">
        <v>5</v>
      </c>
      <c r="H129" s="5">
        <v>4</v>
      </c>
      <c r="I129" s="5">
        <v>11</v>
      </c>
      <c r="J129" s="5">
        <v>4</v>
      </c>
      <c r="K129" s="5">
        <v>5</v>
      </c>
      <c r="L129" s="5">
        <v>9</v>
      </c>
    </row>
    <row r="130" spans="1:12" ht="13" hidden="1" customHeight="1">
      <c r="A130" s="3" t="s">
        <v>139</v>
      </c>
      <c r="B130" s="5">
        <v>99</v>
      </c>
      <c r="E130" s="5">
        <v>4</v>
      </c>
      <c r="F130" s="5">
        <v>19</v>
      </c>
      <c r="G130" s="5">
        <v>11</v>
      </c>
      <c r="H130" s="5">
        <v>10</v>
      </c>
      <c r="I130" s="5">
        <v>10</v>
      </c>
      <c r="J130" s="5">
        <v>22</v>
      </c>
      <c r="K130" s="5">
        <v>6</v>
      </c>
      <c r="L130" s="5">
        <v>7</v>
      </c>
    </row>
    <row r="131" spans="1:12" ht="13" hidden="1" customHeight="1">
      <c r="A131" s="3" t="s">
        <v>140</v>
      </c>
      <c r="B131" s="5">
        <v>2</v>
      </c>
      <c r="E131" s="5">
        <v>0</v>
      </c>
      <c r="F131" s="5">
        <v>0</v>
      </c>
      <c r="G131" s="5">
        <v>0</v>
      </c>
      <c r="H131" s="5">
        <v>0</v>
      </c>
      <c r="I131" s="5">
        <v>1</v>
      </c>
      <c r="J131" s="5">
        <v>0</v>
      </c>
      <c r="K131" s="5">
        <v>0</v>
      </c>
      <c r="L131" s="5">
        <v>0</v>
      </c>
    </row>
    <row r="132" spans="1:12" ht="13" hidden="1" customHeight="1">
      <c r="A132" s="3" t="s">
        <v>141</v>
      </c>
      <c r="B132" s="5">
        <v>196</v>
      </c>
      <c r="E132" s="5">
        <v>87</v>
      </c>
      <c r="F132" s="5">
        <v>37</v>
      </c>
      <c r="G132" s="5">
        <v>24</v>
      </c>
      <c r="H132" s="5">
        <v>10</v>
      </c>
      <c r="I132" s="5">
        <v>12</v>
      </c>
      <c r="J132" s="5">
        <v>16</v>
      </c>
      <c r="K132" s="5">
        <v>6</v>
      </c>
      <c r="L132" s="5">
        <v>1</v>
      </c>
    </row>
    <row r="133" spans="1:12" ht="13" hidden="1" customHeight="1">
      <c r="A133" s="3" t="s">
        <v>142</v>
      </c>
      <c r="B133" s="5">
        <v>11427</v>
      </c>
      <c r="E133" s="5">
        <v>4640</v>
      </c>
      <c r="F133" s="5">
        <v>3516</v>
      </c>
      <c r="G133" s="5">
        <v>1348</v>
      </c>
      <c r="H133" s="5">
        <v>739</v>
      </c>
      <c r="I133" s="5">
        <v>622</v>
      </c>
      <c r="J133" s="5">
        <v>402</v>
      </c>
      <c r="K133" s="5">
        <v>103</v>
      </c>
      <c r="L133" s="5">
        <v>32</v>
      </c>
    </row>
    <row r="134" spans="1:12" ht="13" hidden="1" customHeight="1">
      <c r="A134" s="3" t="s">
        <v>143</v>
      </c>
      <c r="B134" s="5">
        <v>11427</v>
      </c>
      <c r="E134" s="5">
        <v>4640</v>
      </c>
      <c r="F134" s="5">
        <v>3516</v>
      </c>
      <c r="G134" s="5">
        <v>1348</v>
      </c>
      <c r="H134" s="5">
        <v>739</v>
      </c>
      <c r="I134" s="5">
        <v>622</v>
      </c>
      <c r="J134" s="5">
        <v>402</v>
      </c>
      <c r="K134" s="5">
        <v>103</v>
      </c>
      <c r="L134" s="5">
        <v>32</v>
      </c>
    </row>
    <row r="135" spans="1:12" ht="13" hidden="1" customHeight="1">
      <c r="A135" s="3" t="s">
        <v>144</v>
      </c>
      <c r="B135" s="5">
        <v>10134</v>
      </c>
      <c r="E135" s="5">
        <v>5531</v>
      </c>
      <c r="F135" s="5">
        <v>2489</v>
      </c>
      <c r="G135" s="5">
        <v>907</v>
      </c>
      <c r="H135" s="5">
        <v>459</v>
      </c>
      <c r="I135" s="5">
        <v>437</v>
      </c>
      <c r="J135" s="5">
        <v>232</v>
      </c>
      <c r="K135" s="5">
        <v>43</v>
      </c>
      <c r="L135" s="5">
        <v>23</v>
      </c>
    </row>
    <row r="136" spans="1:12" ht="13" hidden="1" customHeight="1">
      <c r="A136" s="3" t="s">
        <v>145</v>
      </c>
      <c r="B136" s="5">
        <v>2434</v>
      </c>
      <c r="E136" s="5">
        <v>1507</v>
      </c>
      <c r="F136" s="5">
        <v>577</v>
      </c>
      <c r="G136" s="5">
        <v>178</v>
      </c>
      <c r="H136" s="5">
        <v>80</v>
      </c>
      <c r="I136" s="5">
        <v>60</v>
      </c>
      <c r="J136" s="5">
        <v>22</v>
      </c>
      <c r="K136" s="5">
        <v>6</v>
      </c>
      <c r="L136" s="5">
        <v>2</v>
      </c>
    </row>
    <row r="137" spans="1:12" ht="13" hidden="1" customHeight="1">
      <c r="A137" s="3" t="s">
        <v>146</v>
      </c>
      <c r="B137" s="5">
        <v>297</v>
      </c>
      <c r="E137" s="5">
        <v>199</v>
      </c>
      <c r="F137" s="5">
        <v>61</v>
      </c>
      <c r="G137" s="5">
        <v>15</v>
      </c>
      <c r="H137" s="5">
        <v>9</v>
      </c>
      <c r="I137" s="5">
        <v>7</v>
      </c>
      <c r="J137" s="5">
        <v>5</v>
      </c>
      <c r="K137" s="5">
        <v>0</v>
      </c>
      <c r="L137" s="5">
        <v>1</v>
      </c>
    </row>
    <row r="138" spans="1:12" ht="13" hidden="1" customHeight="1">
      <c r="A138" s="3" t="s">
        <v>147</v>
      </c>
      <c r="B138" s="5">
        <v>272</v>
      </c>
      <c r="E138" s="5">
        <v>121</v>
      </c>
      <c r="F138" s="5">
        <v>64</v>
      </c>
      <c r="G138" s="5">
        <v>26</v>
      </c>
      <c r="H138" s="5">
        <v>20</v>
      </c>
      <c r="I138" s="5">
        <v>18</v>
      </c>
      <c r="J138" s="5">
        <v>20</v>
      </c>
      <c r="K138" s="5">
        <v>1</v>
      </c>
      <c r="L138" s="5">
        <v>2</v>
      </c>
    </row>
    <row r="139" spans="1:12" ht="13" hidden="1" customHeight="1">
      <c r="A139" s="3" t="s">
        <v>148</v>
      </c>
      <c r="B139" s="5">
        <v>423</v>
      </c>
      <c r="E139" s="5">
        <v>188</v>
      </c>
      <c r="F139" s="5">
        <v>104</v>
      </c>
      <c r="G139" s="5">
        <v>41</v>
      </c>
      <c r="H139" s="5">
        <v>20</v>
      </c>
      <c r="I139" s="5">
        <v>45</v>
      </c>
      <c r="J139" s="5">
        <v>12</v>
      </c>
      <c r="K139" s="5">
        <v>8</v>
      </c>
      <c r="L139" s="5">
        <v>2</v>
      </c>
    </row>
    <row r="140" spans="1:12" ht="13" hidden="1" customHeight="1">
      <c r="A140" s="3" t="s">
        <v>149</v>
      </c>
      <c r="B140" s="5">
        <v>5067</v>
      </c>
      <c r="E140" s="5">
        <v>2718</v>
      </c>
      <c r="F140" s="5">
        <v>1271</v>
      </c>
      <c r="G140" s="5">
        <v>496</v>
      </c>
      <c r="H140" s="5">
        <v>247</v>
      </c>
      <c r="I140" s="5">
        <v>200</v>
      </c>
      <c r="J140" s="5">
        <v>97</v>
      </c>
      <c r="K140" s="5">
        <v>20</v>
      </c>
      <c r="L140" s="5">
        <v>11</v>
      </c>
    </row>
    <row r="141" spans="1:12" ht="13" hidden="1" customHeight="1">
      <c r="A141" s="3" t="s">
        <v>150</v>
      </c>
      <c r="B141" s="5">
        <v>1641</v>
      </c>
      <c r="E141" s="5">
        <v>798</v>
      </c>
      <c r="F141" s="5">
        <v>412</v>
      </c>
      <c r="G141" s="5">
        <v>151</v>
      </c>
      <c r="H141" s="5">
        <v>83</v>
      </c>
      <c r="I141" s="5">
        <v>107</v>
      </c>
      <c r="J141" s="5">
        <v>76</v>
      </c>
      <c r="K141" s="5">
        <v>8</v>
      </c>
      <c r="L141" s="5">
        <v>5</v>
      </c>
    </row>
    <row r="142" spans="1:12" ht="13" hidden="1" customHeight="1">
      <c r="A142" s="3" t="s">
        <v>151</v>
      </c>
      <c r="B142" s="5">
        <v>14227</v>
      </c>
      <c r="E142" s="5">
        <v>5880</v>
      </c>
      <c r="F142" s="5">
        <v>4102</v>
      </c>
      <c r="G142" s="5">
        <v>1787</v>
      </c>
      <c r="H142" s="5">
        <v>882</v>
      </c>
      <c r="I142" s="5">
        <v>800</v>
      </c>
      <c r="J142" s="5">
        <v>526</v>
      </c>
      <c r="K142" s="5">
        <v>139</v>
      </c>
      <c r="L142" s="5">
        <v>62</v>
      </c>
    </row>
    <row r="143" spans="1:12" ht="13" hidden="1" customHeight="1">
      <c r="A143" s="3" t="s">
        <v>152</v>
      </c>
      <c r="B143" s="5">
        <v>13259</v>
      </c>
      <c r="E143" s="5">
        <v>5838</v>
      </c>
      <c r="F143" s="5">
        <v>3742</v>
      </c>
      <c r="G143" s="5">
        <v>1563</v>
      </c>
      <c r="H143" s="5">
        <v>762</v>
      </c>
      <c r="I143" s="5">
        <v>690</v>
      </c>
      <c r="J143" s="5">
        <v>456</v>
      </c>
      <c r="K143" s="5">
        <v>119</v>
      </c>
      <c r="L143" s="5">
        <v>50</v>
      </c>
    </row>
    <row r="144" spans="1:12" ht="13" hidden="1" customHeight="1">
      <c r="A144" s="3" t="s">
        <v>153</v>
      </c>
      <c r="B144" s="5">
        <v>968</v>
      </c>
      <c r="E144" s="5">
        <v>42</v>
      </c>
      <c r="F144" s="5">
        <v>360</v>
      </c>
      <c r="G144" s="5">
        <v>224</v>
      </c>
      <c r="H144" s="5">
        <v>120</v>
      </c>
      <c r="I144" s="5">
        <v>110</v>
      </c>
      <c r="J144" s="5">
        <v>70</v>
      </c>
      <c r="K144" s="5">
        <v>20</v>
      </c>
      <c r="L144" s="5">
        <v>12</v>
      </c>
    </row>
    <row r="145" spans="1:12" ht="13" hidden="1" customHeight="1">
      <c r="A145" s="3" t="s">
        <v>154</v>
      </c>
      <c r="B145" s="5">
        <v>11592</v>
      </c>
      <c r="E145" s="5">
        <v>9143</v>
      </c>
      <c r="F145" s="5">
        <v>1660</v>
      </c>
      <c r="G145" s="5">
        <v>307</v>
      </c>
      <c r="H145" s="5">
        <v>159</v>
      </c>
      <c r="I145" s="5">
        <v>156</v>
      </c>
      <c r="J145" s="5">
        <v>98</v>
      </c>
      <c r="K145" s="5">
        <v>26</v>
      </c>
      <c r="L145" s="5">
        <v>17</v>
      </c>
    </row>
    <row r="146" spans="1:12" ht="13" hidden="1" customHeight="1">
      <c r="A146" s="3" t="s">
        <v>155</v>
      </c>
      <c r="B146" s="5">
        <v>11294</v>
      </c>
      <c r="E146" s="5">
        <v>9098</v>
      </c>
      <c r="F146" s="5">
        <v>1566</v>
      </c>
      <c r="G146" s="5">
        <v>249</v>
      </c>
      <c r="H146" s="5">
        <v>116</v>
      </c>
      <c r="I146" s="5">
        <v>127</v>
      </c>
      <c r="J146" s="5">
        <v>80</v>
      </c>
      <c r="K146" s="5">
        <v>21</v>
      </c>
      <c r="L146" s="5">
        <v>15</v>
      </c>
    </row>
    <row r="147" spans="1:12" ht="13" hidden="1" customHeight="1">
      <c r="A147" s="3" t="s">
        <v>156</v>
      </c>
      <c r="B147" s="5">
        <v>67</v>
      </c>
      <c r="E147" s="5">
        <v>9</v>
      </c>
      <c r="F147" s="5">
        <v>18</v>
      </c>
      <c r="G147" s="5">
        <v>11</v>
      </c>
      <c r="H147" s="5">
        <v>6</v>
      </c>
      <c r="I147" s="5">
        <v>7</v>
      </c>
      <c r="J147" s="5">
        <v>7</v>
      </c>
      <c r="K147" s="5">
        <v>3</v>
      </c>
      <c r="L147" s="5">
        <v>2</v>
      </c>
    </row>
    <row r="148" spans="1:12" ht="13" hidden="1" customHeight="1">
      <c r="A148" s="3" t="s">
        <v>157</v>
      </c>
      <c r="B148" s="5">
        <v>231</v>
      </c>
      <c r="E148" s="5">
        <v>36</v>
      </c>
      <c r="F148" s="5">
        <v>76</v>
      </c>
      <c r="G148" s="5">
        <v>47</v>
      </c>
      <c r="H148" s="5">
        <v>37</v>
      </c>
      <c r="I148" s="5">
        <v>22</v>
      </c>
      <c r="J148" s="5">
        <v>11</v>
      </c>
      <c r="K148" s="5">
        <v>2</v>
      </c>
      <c r="L148" s="5">
        <v>0</v>
      </c>
    </row>
    <row r="149" spans="1:12" ht="13" hidden="1" customHeight="1">
      <c r="A149" s="3" t="s">
        <v>158</v>
      </c>
      <c r="B149" s="5">
        <v>3194</v>
      </c>
      <c r="E149" s="5">
        <v>573</v>
      </c>
      <c r="F149" s="5">
        <v>1705</v>
      </c>
      <c r="G149" s="5">
        <v>432</v>
      </c>
      <c r="H149" s="5">
        <v>173</v>
      </c>
      <c r="I149" s="5">
        <v>126</v>
      </c>
      <c r="J149" s="5">
        <v>88</v>
      </c>
      <c r="K149" s="5">
        <v>43</v>
      </c>
      <c r="L149" s="5">
        <v>21</v>
      </c>
    </row>
    <row r="150" spans="1:12" ht="13" hidden="1" customHeight="1">
      <c r="A150" s="3" t="s">
        <v>159</v>
      </c>
      <c r="B150" s="5">
        <v>3194</v>
      </c>
      <c r="E150" s="5">
        <v>573</v>
      </c>
      <c r="F150" s="5">
        <v>1705</v>
      </c>
      <c r="G150" s="5">
        <v>432</v>
      </c>
      <c r="H150" s="5">
        <v>173</v>
      </c>
      <c r="I150" s="5">
        <v>126</v>
      </c>
      <c r="J150" s="5">
        <v>88</v>
      </c>
      <c r="K150" s="5">
        <v>43</v>
      </c>
      <c r="L150" s="5">
        <v>21</v>
      </c>
    </row>
    <row r="151" spans="1:12" ht="13" hidden="1" customHeight="1">
      <c r="A151" s="3" t="s">
        <v>160</v>
      </c>
      <c r="B151" s="5">
        <v>606</v>
      </c>
      <c r="E151" s="5">
        <v>152</v>
      </c>
      <c r="F151" s="5">
        <v>143</v>
      </c>
      <c r="G151" s="5">
        <v>94</v>
      </c>
      <c r="H151" s="5">
        <v>79</v>
      </c>
      <c r="I151" s="5">
        <v>81</v>
      </c>
      <c r="J151" s="5">
        <v>36</v>
      </c>
      <c r="K151" s="5">
        <v>13</v>
      </c>
      <c r="L151" s="5">
        <v>7</v>
      </c>
    </row>
    <row r="152" spans="1:12" ht="13" hidden="1" customHeight="1">
      <c r="A152" s="3" t="s">
        <v>161</v>
      </c>
      <c r="B152" s="5">
        <v>606</v>
      </c>
      <c r="E152" s="5">
        <v>152</v>
      </c>
      <c r="F152" s="5">
        <v>143</v>
      </c>
      <c r="G152" s="5">
        <v>94</v>
      </c>
      <c r="H152" s="5">
        <v>79</v>
      </c>
      <c r="I152" s="5">
        <v>81</v>
      </c>
      <c r="J152" s="5">
        <v>36</v>
      </c>
      <c r="K152" s="5">
        <v>13</v>
      </c>
      <c r="L152" s="5">
        <v>7</v>
      </c>
    </row>
    <row r="153" spans="1:12" ht="13" hidden="1" customHeight="1">
      <c r="A153" s="3" t="s">
        <v>162</v>
      </c>
      <c r="B153" s="5">
        <v>2836</v>
      </c>
      <c r="E153" s="5">
        <v>663</v>
      </c>
      <c r="F153" s="5">
        <v>698</v>
      </c>
      <c r="G153" s="5">
        <v>460</v>
      </c>
      <c r="H153" s="5">
        <v>321</v>
      </c>
      <c r="I153" s="5">
        <v>268</v>
      </c>
      <c r="J153" s="5">
        <v>245</v>
      </c>
      <c r="K153" s="5">
        <v>84</v>
      </c>
      <c r="L153" s="5">
        <v>44</v>
      </c>
    </row>
    <row r="154" spans="1:12" ht="13" hidden="1" customHeight="1">
      <c r="A154" s="3" t="s">
        <v>163</v>
      </c>
      <c r="B154" s="5">
        <v>1814</v>
      </c>
      <c r="E154" s="5">
        <v>544</v>
      </c>
      <c r="F154" s="5">
        <v>481</v>
      </c>
      <c r="G154" s="5">
        <v>260</v>
      </c>
      <c r="H154" s="5">
        <v>160</v>
      </c>
      <c r="I154" s="5">
        <v>144</v>
      </c>
      <c r="J154" s="5">
        <v>126</v>
      </c>
      <c r="K154" s="5">
        <v>42</v>
      </c>
      <c r="L154" s="5">
        <v>24</v>
      </c>
    </row>
    <row r="155" spans="1:12" ht="13" hidden="1" customHeight="1">
      <c r="A155" s="3" t="s">
        <v>164</v>
      </c>
      <c r="B155" s="5">
        <v>520</v>
      </c>
      <c r="E155" s="5">
        <v>91</v>
      </c>
      <c r="F155" s="5">
        <v>121</v>
      </c>
      <c r="G155" s="5">
        <v>93</v>
      </c>
      <c r="H155" s="5">
        <v>69</v>
      </c>
      <c r="I155" s="5">
        <v>52</v>
      </c>
      <c r="J155" s="5">
        <v>43</v>
      </c>
      <c r="K155" s="5">
        <v>23</v>
      </c>
      <c r="L155" s="5">
        <v>12</v>
      </c>
    </row>
    <row r="156" spans="1:12" ht="13" hidden="1" customHeight="1">
      <c r="A156" s="3" t="s">
        <v>165</v>
      </c>
      <c r="B156" s="5">
        <v>502</v>
      </c>
      <c r="E156" s="5">
        <v>28</v>
      </c>
      <c r="F156" s="5">
        <v>96</v>
      </c>
      <c r="G156" s="5">
        <v>107</v>
      </c>
      <c r="H156" s="5">
        <v>92</v>
      </c>
      <c r="I156" s="5">
        <v>72</v>
      </c>
      <c r="J156" s="5">
        <v>76</v>
      </c>
      <c r="K156" s="5">
        <v>19</v>
      </c>
      <c r="L156" s="5">
        <v>8</v>
      </c>
    </row>
    <row r="157" spans="1:12" ht="13" hidden="1" customHeight="1">
      <c r="A157" s="3" t="s">
        <v>166</v>
      </c>
      <c r="B157" s="5">
        <v>374</v>
      </c>
      <c r="E157" s="5">
        <v>167</v>
      </c>
      <c r="F157" s="5">
        <v>101</v>
      </c>
      <c r="G157" s="5">
        <v>44</v>
      </c>
      <c r="H157" s="5">
        <v>26</v>
      </c>
      <c r="I157" s="5">
        <v>20</v>
      </c>
      <c r="J157" s="5">
        <v>10</v>
      </c>
      <c r="K157" s="5">
        <v>4</v>
      </c>
      <c r="L157" s="5">
        <v>2</v>
      </c>
    </row>
    <row r="158" spans="1:12" ht="13" hidden="1" customHeight="1">
      <c r="A158" s="3" t="s">
        <v>167</v>
      </c>
      <c r="B158" s="5">
        <v>374</v>
      </c>
      <c r="E158" s="5">
        <v>167</v>
      </c>
      <c r="F158" s="5">
        <v>101</v>
      </c>
      <c r="G158" s="5">
        <v>44</v>
      </c>
      <c r="H158" s="5">
        <v>26</v>
      </c>
      <c r="I158" s="5">
        <v>20</v>
      </c>
      <c r="J158" s="5">
        <v>10</v>
      </c>
      <c r="K158" s="5">
        <v>4</v>
      </c>
      <c r="L158" s="5">
        <v>2</v>
      </c>
    </row>
    <row r="159" spans="1:12" ht="13" hidden="1" customHeight="1">
      <c r="A159" s="3" t="s">
        <v>168</v>
      </c>
      <c r="B159" s="5">
        <v>225067</v>
      </c>
      <c r="E159" s="5">
        <v>144137</v>
      </c>
      <c r="F159" s="5">
        <v>49477</v>
      </c>
      <c r="G159" s="5">
        <v>16470</v>
      </c>
      <c r="H159" s="5">
        <v>7226</v>
      </c>
      <c r="I159" s="5">
        <v>4792</v>
      </c>
      <c r="J159" s="5">
        <v>2318</v>
      </c>
      <c r="K159" s="5">
        <v>461</v>
      </c>
      <c r="L159" s="5">
        <v>132</v>
      </c>
    </row>
    <row r="160" spans="1:12" ht="13" hidden="1" customHeight="1">
      <c r="A160" s="3" t="s">
        <v>169</v>
      </c>
      <c r="B160" s="5">
        <v>65229</v>
      </c>
      <c r="E160" s="5">
        <v>51133</v>
      </c>
      <c r="F160" s="5">
        <v>11110</v>
      </c>
      <c r="G160" s="5">
        <v>1926</v>
      </c>
      <c r="H160" s="5">
        <v>599</v>
      </c>
      <c r="I160" s="5">
        <v>285</v>
      </c>
      <c r="J160" s="5">
        <v>118</v>
      </c>
      <c r="K160" s="5">
        <v>35</v>
      </c>
      <c r="L160" s="5">
        <v>16</v>
      </c>
    </row>
    <row r="161" spans="1:12" ht="13" hidden="1" customHeight="1">
      <c r="A161" s="3" t="s">
        <v>170</v>
      </c>
      <c r="B161" s="5">
        <v>159838</v>
      </c>
      <c r="E161" s="5">
        <v>93004</v>
      </c>
      <c r="F161" s="5">
        <v>38367</v>
      </c>
      <c r="G161" s="5">
        <v>14544</v>
      </c>
      <c r="H161" s="5">
        <v>6627</v>
      </c>
      <c r="I161" s="5">
        <v>4507</v>
      </c>
      <c r="J161" s="5">
        <v>2200</v>
      </c>
      <c r="K161" s="5">
        <v>426</v>
      </c>
      <c r="L161" s="5">
        <v>116</v>
      </c>
    </row>
    <row r="162" spans="1:12" ht="13" hidden="1" customHeight="1">
      <c r="A162" s="3" t="s">
        <v>171</v>
      </c>
      <c r="B162" s="5">
        <v>11873</v>
      </c>
      <c r="E162" s="5">
        <v>8621</v>
      </c>
      <c r="F162" s="5">
        <v>1223</v>
      </c>
      <c r="G162" s="5">
        <v>527</v>
      </c>
      <c r="H162" s="5">
        <v>338</v>
      </c>
      <c r="I162" s="5">
        <v>415</v>
      </c>
      <c r="J162" s="5">
        <v>471</v>
      </c>
      <c r="K162" s="5">
        <v>144</v>
      </c>
      <c r="L162" s="5">
        <v>78</v>
      </c>
    </row>
    <row r="163" spans="1:12" ht="13" hidden="1" customHeight="1">
      <c r="A163" s="3" t="s">
        <v>172</v>
      </c>
      <c r="B163" s="5">
        <v>1207</v>
      </c>
      <c r="E163" s="5">
        <v>224</v>
      </c>
      <c r="F163" s="5">
        <v>216</v>
      </c>
      <c r="G163" s="5">
        <v>110</v>
      </c>
      <c r="H163" s="5">
        <v>94</v>
      </c>
      <c r="I163" s="5">
        <v>147</v>
      </c>
      <c r="J163" s="5">
        <v>237</v>
      </c>
      <c r="K163" s="5">
        <v>91</v>
      </c>
      <c r="L163" s="5">
        <v>50</v>
      </c>
    </row>
    <row r="164" spans="1:12" ht="13" hidden="1" customHeight="1">
      <c r="A164" s="3" t="s">
        <v>173</v>
      </c>
      <c r="B164" s="5">
        <v>1150</v>
      </c>
      <c r="E164" s="5">
        <v>178</v>
      </c>
      <c r="F164" s="5">
        <v>459</v>
      </c>
      <c r="G164" s="5">
        <v>197</v>
      </c>
      <c r="H164" s="5">
        <v>109</v>
      </c>
      <c r="I164" s="5">
        <v>89</v>
      </c>
      <c r="J164" s="5">
        <v>82</v>
      </c>
      <c r="K164" s="5">
        <v>14</v>
      </c>
      <c r="L164" s="5">
        <v>11</v>
      </c>
    </row>
    <row r="165" spans="1:12" ht="13" hidden="1" customHeight="1">
      <c r="A165" s="3" t="s">
        <v>174</v>
      </c>
      <c r="B165" s="5">
        <v>9516</v>
      </c>
      <c r="E165" s="5">
        <v>8219</v>
      </c>
      <c r="F165" s="5">
        <v>548</v>
      </c>
      <c r="G165" s="5">
        <v>220</v>
      </c>
      <c r="H165" s="5">
        <v>135</v>
      </c>
      <c r="I165" s="5">
        <v>179</v>
      </c>
      <c r="J165" s="5">
        <v>152</v>
      </c>
      <c r="K165" s="5">
        <v>39</v>
      </c>
      <c r="L165" s="5">
        <v>17</v>
      </c>
    </row>
    <row r="166" spans="1:12" ht="13" hidden="1" customHeight="1">
      <c r="A166" s="3" t="s">
        <v>175</v>
      </c>
      <c r="B166" s="5">
        <v>183178</v>
      </c>
      <c r="E166" s="5">
        <v>98820</v>
      </c>
      <c r="F166" s="5">
        <v>51456</v>
      </c>
      <c r="G166" s="5">
        <v>16332</v>
      </c>
      <c r="H166" s="5">
        <v>7309</v>
      </c>
      <c r="I166" s="5">
        <v>5552</v>
      </c>
      <c r="J166" s="5">
        <v>2925</v>
      </c>
      <c r="K166" s="5">
        <v>527</v>
      </c>
      <c r="L166" s="5">
        <v>167</v>
      </c>
    </row>
    <row r="167" spans="1:12" ht="13" hidden="1" customHeight="1">
      <c r="A167" s="3" t="s">
        <v>176</v>
      </c>
      <c r="B167" s="5">
        <v>9494</v>
      </c>
      <c r="E167" s="5">
        <v>4829</v>
      </c>
      <c r="F167" s="5">
        <v>2588</v>
      </c>
      <c r="G167" s="5">
        <v>827</v>
      </c>
      <c r="H167" s="5">
        <v>454</v>
      </c>
      <c r="I167" s="5">
        <v>433</v>
      </c>
      <c r="J167" s="5">
        <v>297</v>
      </c>
      <c r="K167" s="5">
        <v>53</v>
      </c>
      <c r="L167" s="5">
        <v>11</v>
      </c>
    </row>
    <row r="168" spans="1:12" ht="13" hidden="1" customHeight="1">
      <c r="A168" s="3" t="s">
        <v>177</v>
      </c>
      <c r="B168" s="5">
        <v>81524</v>
      </c>
      <c r="E168" s="5">
        <v>40162</v>
      </c>
      <c r="F168" s="5">
        <v>24327</v>
      </c>
      <c r="G168" s="5">
        <v>8201</v>
      </c>
      <c r="H168" s="5">
        <v>3899</v>
      </c>
      <c r="I168" s="5">
        <v>2941</v>
      </c>
      <c r="J168" s="5">
        <v>1549</v>
      </c>
      <c r="K168" s="5">
        <v>279</v>
      </c>
      <c r="L168" s="5">
        <v>93</v>
      </c>
    </row>
    <row r="169" spans="1:12" ht="13" hidden="1" customHeight="1">
      <c r="A169" s="3" t="s">
        <v>178</v>
      </c>
      <c r="B169" s="5">
        <v>76027</v>
      </c>
      <c r="E169" s="5">
        <v>48477</v>
      </c>
      <c r="F169" s="5">
        <v>18890</v>
      </c>
      <c r="G169" s="5">
        <v>4948</v>
      </c>
      <c r="H169" s="5">
        <v>1873</v>
      </c>
      <c r="I169" s="5">
        <v>1242</v>
      </c>
      <c r="J169" s="5">
        <v>497</v>
      </c>
      <c r="K169" s="5">
        <v>75</v>
      </c>
      <c r="L169" s="5">
        <v>22</v>
      </c>
    </row>
    <row r="170" spans="1:12" ht="13" hidden="1" customHeight="1">
      <c r="A170" s="3" t="s">
        <v>179</v>
      </c>
      <c r="B170" s="5">
        <v>16133</v>
      </c>
      <c r="E170" s="5">
        <v>5352</v>
      </c>
      <c r="F170" s="5">
        <v>5651</v>
      </c>
      <c r="G170" s="5">
        <v>2356</v>
      </c>
      <c r="H170" s="5">
        <v>1083</v>
      </c>
      <c r="I170" s="5">
        <v>936</v>
      </c>
      <c r="J170" s="5">
        <v>582</v>
      </c>
      <c r="K170" s="5">
        <v>120</v>
      </c>
      <c r="L170" s="5">
        <v>41</v>
      </c>
    </row>
    <row r="171" spans="1:12" ht="13" hidden="1" customHeight="1">
      <c r="A171" s="3" t="s">
        <v>180</v>
      </c>
      <c r="B171" s="5">
        <v>74479</v>
      </c>
      <c r="E171" s="5">
        <v>31079</v>
      </c>
      <c r="F171" s="5">
        <v>27284</v>
      </c>
      <c r="G171" s="5">
        <v>9137</v>
      </c>
      <c r="H171" s="5">
        <v>3211</v>
      </c>
      <c r="I171" s="5">
        <v>2273</v>
      </c>
      <c r="J171" s="5">
        <v>967</v>
      </c>
      <c r="K171" s="5">
        <v>279</v>
      </c>
      <c r="L171" s="5">
        <v>152</v>
      </c>
    </row>
    <row r="172" spans="1:12" ht="13" hidden="1" customHeight="1">
      <c r="A172" s="3" t="s">
        <v>181</v>
      </c>
      <c r="B172" s="5">
        <v>16755</v>
      </c>
      <c r="E172" s="5">
        <v>9875</v>
      </c>
      <c r="F172" s="5">
        <v>4074</v>
      </c>
      <c r="G172" s="5">
        <v>1096</v>
      </c>
      <c r="H172" s="5">
        <v>458</v>
      </c>
      <c r="I172" s="5">
        <v>473</v>
      </c>
      <c r="J172" s="5">
        <v>436</v>
      </c>
      <c r="K172" s="5">
        <v>178</v>
      </c>
      <c r="L172" s="5">
        <v>105</v>
      </c>
    </row>
    <row r="173" spans="1:12" ht="13" hidden="1" customHeight="1">
      <c r="A173" s="3" t="s">
        <v>182</v>
      </c>
      <c r="B173" s="5">
        <v>44696</v>
      </c>
      <c r="E173" s="5">
        <v>15936</v>
      </c>
      <c r="F173" s="5">
        <v>18748</v>
      </c>
      <c r="G173" s="5">
        <v>6392</v>
      </c>
      <c r="H173" s="5">
        <v>2038</v>
      </c>
      <c r="I173" s="5">
        <v>1247</v>
      </c>
      <c r="J173" s="5">
        <v>279</v>
      </c>
      <c r="K173" s="5">
        <v>38</v>
      </c>
      <c r="L173" s="5">
        <v>12</v>
      </c>
    </row>
    <row r="174" spans="1:12" ht="13" hidden="1" customHeight="1">
      <c r="A174" s="3" t="s">
        <v>183</v>
      </c>
      <c r="B174" s="5">
        <v>9556</v>
      </c>
      <c r="E174" s="5">
        <v>3860</v>
      </c>
      <c r="F174" s="5">
        <v>3158</v>
      </c>
      <c r="G174" s="5">
        <v>1214</v>
      </c>
      <c r="H174" s="5">
        <v>551</v>
      </c>
      <c r="I174" s="5">
        <v>440</v>
      </c>
      <c r="J174" s="5">
        <v>212</v>
      </c>
      <c r="K174" s="5">
        <v>59</v>
      </c>
      <c r="L174" s="5">
        <v>32</v>
      </c>
    </row>
    <row r="175" spans="1:12" ht="13" hidden="1" customHeight="1">
      <c r="A175" s="3" t="s">
        <v>184</v>
      </c>
      <c r="B175" s="5">
        <v>3472</v>
      </c>
      <c r="E175" s="5">
        <v>1408</v>
      </c>
      <c r="F175" s="5">
        <v>1304</v>
      </c>
      <c r="G175" s="5">
        <v>435</v>
      </c>
      <c r="H175" s="5">
        <v>164</v>
      </c>
      <c r="I175" s="5">
        <v>113</v>
      </c>
      <c r="J175" s="5">
        <v>40</v>
      </c>
      <c r="K175" s="5">
        <v>4</v>
      </c>
      <c r="L175" s="5">
        <v>3</v>
      </c>
    </row>
    <row r="176" spans="1:12" ht="13" hidden="1" customHeight="1">
      <c r="A176" s="3" t="s">
        <v>185</v>
      </c>
      <c r="B176" s="5">
        <v>216258</v>
      </c>
      <c r="E176" s="5">
        <v>110913</v>
      </c>
      <c r="F176" s="5">
        <v>56879</v>
      </c>
      <c r="G176" s="5">
        <v>20375</v>
      </c>
      <c r="H176" s="5">
        <v>13530</v>
      </c>
      <c r="I176" s="5">
        <v>7456</v>
      </c>
      <c r="J176" s="5">
        <v>4576</v>
      </c>
      <c r="K176" s="5">
        <v>1334</v>
      </c>
      <c r="L176" s="5">
        <v>679</v>
      </c>
    </row>
    <row r="177" spans="1:12" ht="13" hidden="1" customHeight="1">
      <c r="A177" s="3" t="s">
        <v>186</v>
      </c>
      <c r="B177" s="5">
        <v>66026</v>
      </c>
      <c r="E177" s="5">
        <v>51013</v>
      </c>
      <c r="F177" s="5">
        <v>11938</v>
      </c>
      <c r="G177" s="5">
        <v>1731</v>
      </c>
      <c r="H177" s="5">
        <v>740</v>
      </c>
      <c r="I177" s="5">
        <v>333</v>
      </c>
      <c r="J177" s="5">
        <v>189</v>
      </c>
      <c r="K177" s="5">
        <v>45</v>
      </c>
      <c r="L177" s="5">
        <v>19</v>
      </c>
    </row>
    <row r="178" spans="1:12" ht="13" hidden="1" customHeight="1">
      <c r="A178" s="3" t="s">
        <v>187</v>
      </c>
      <c r="B178" s="5">
        <v>9129</v>
      </c>
      <c r="E178" s="5">
        <v>3502</v>
      </c>
      <c r="F178" s="5">
        <v>3321</v>
      </c>
      <c r="G178" s="5">
        <v>1156</v>
      </c>
      <c r="H178" s="5">
        <v>604</v>
      </c>
      <c r="I178" s="5">
        <v>340</v>
      </c>
      <c r="J178" s="5">
        <v>157</v>
      </c>
      <c r="K178" s="5">
        <v>32</v>
      </c>
      <c r="L178" s="5">
        <v>12</v>
      </c>
    </row>
    <row r="179" spans="1:12" ht="13" hidden="1" customHeight="1">
      <c r="A179" s="3" t="s">
        <v>188</v>
      </c>
      <c r="B179" s="5">
        <v>42740</v>
      </c>
      <c r="E179" s="5">
        <v>17401</v>
      </c>
      <c r="F179" s="5">
        <v>11750</v>
      </c>
      <c r="G179" s="5">
        <v>4999</v>
      </c>
      <c r="H179" s="5">
        <v>3781</v>
      </c>
      <c r="I179" s="5">
        <v>2236</v>
      </c>
      <c r="J179" s="5">
        <v>1507</v>
      </c>
      <c r="K179" s="5">
        <v>477</v>
      </c>
      <c r="L179" s="5">
        <v>305</v>
      </c>
    </row>
    <row r="180" spans="1:12" ht="13" hidden="1" customHeight="1">
      <c r="A180" s="3" t="s">
        <v>189</v>
      </c>
      <c r="B180" s="5">
        <v>37915</v>
      </c>
      <c r="E180" s="5">
        <v>16556</v>
      </c>
      <c r="F180" s="5">
        <v>11760</v>
      </c>
      <c r="G180" s="5">
        <v>4339</v>
      </c>
      <c r="H180" s="5">
        <v>2558</v>
      </c>
      <c r="I180" s="5">
        <v>1336</v>
      </c>
      <c r="J180" s="5">
        <v>845</v>
      </c>
      <c r="K180" s="5">
        <v>275</v>
      </c>
      <c r="L180" s="5">
        <v>136</v>
      </c>
    </row>
    <row r="181" spans="1:12" ht="13" hidden="1" customHeight="1">
      <c r="A181" s="3" t="s">
        <v>190</v>
      </c>
      <c r="B181" s="5">
        <v>4300</v>
      </c>
      <c r="E181" s="5">
        <v>962</v>
      </c>
      <c r="F181" s="5">
        <v>1343</v>
      </c>
      <c r="G181" s="5">
        <v>688</v>
      </c>
      <c r="H181" s="5">
        <v>513</v>
      </c>
      <c r="I181" s="5">
        <v>348</v>
      </c>
      <c r="J181" s="5">
        <v>283</v>
      </c>
      <c r="K181" s="5">
        <v>93</v>
      </c>
      <c r="L181" s="5">
        <v>45</v>
      </c>
    </row>
    <row r="182" spans="1:12" ht="13" hidden="1" customHeight="1">
      <c r="A182" s="3" t="s">
        <v>191</v>
      </c>
      <c r="B182" s="5">
        <v>17455</v>
      </c>
      <c r="E182" s="5">
        <v>6247</v>
      </c>
      <c r="F182" s="5">
        <v>5356</v>
      </c>
      <c r="G182" s="5">
        <v>2429</v>
      </c>
      <c r="H182" s="5">
        <v>1633</v>
      </c>
      <c r="I182" s="5">
        <v>999</v>
      </c>
      <c r="J182" s="5">
        <v>531</v>
      </c>
      <c r="K182" s="5">
        <v>168</v>
      </c>
      <c r="L182" s="5">
        <v>56</v>
      </c>
    </row>
    <row r="183" spans="1:12" ht="13" hidden="1" customHeight="1">
      <c r="A183" s="3" t="s">
        <v>192</v>
      </c>
      <c r="B183" s="5">
        <v>30312</v>
      </c>
      <c r="E183" s="5">
        <v>10661</v>
      </c>
      <c r="F183" s="5">
        <v>8943</v>
      </c>
      <c r="G183" s="5">
        <v>4320</v>
      </c>
      <c r="H183" s="5">
        <v>3285</v>
      </c>
      <c r="I183" s="5">
        <v>1708</v>
      </c>
      <c r="J183" s="5">
        <v>1016</v>
      </c>
      <c r="K183" s="5">
        <v>236</v>
      </c>
      <c r="L183" s="5">
        <v>106</v>
      </c>
    </row>
    <row r="184" spans="1:12" ht="13" hidden="1" customHeight="1">
      <c r="A184" s="3" t="s">
        <v>193</v>
      </c>
      <c r="B184" s="5">
        <v>8381</v>
      </c>
      <c r="E184" s="5">
        <v>4571</v>
      </c>
      <c r="F184" s="5">
        <v>2468</v>
      </c>
      <c r="G184" s="5">
        <v>713</v>
      </c>
      <c r="H184" s="5">
        <v>416</v>
      </c>
      <c r="I184" s="5">
        <v>156</v>
      </c>
      <c r="J184" s="5">
        <v>48</v>
      </c>
      <c r="K184" s="5">
        <v>8</v>
      </c>
      <c r="L184" s="5">
        <v>0</v>
      </c>
    </row>
    <row r="185" spans="1:12" ht="13" hidden="1" customHeight="1">
      <c r="A185" s="3" t="s">
        <v>194</v>
      </c>
      <c r="B185" s="5">
        <v>435836</v>
      </c>
      <c r="E185" s="5">
        <v>215550</v>
      </c>
      <c r="F185" s="5">
        <v>151570</v>
      </c>
      <c r="G185" s="5">
        <v>49869</v>
      </c>
      <c r="H185" s="5">
        <v>11880</v>
      </c>
      <c r="I185" s="5">
        <v>3975</v>
      </c>
      <c r="J185" s="5">
        <v>2053</v>
      </c>
      <c r="K185" s="5">
        <v>456</v>
      </c>
      <c r="L185" s="5">
        <v>218</v>
      </c>
    </row>
    <row r="186" spans="1:12" ht="13" hidden="1" customHeight="1">
      <c r="A186" s="3" t="s">
        <v>195</v>
      </c>
      <c r="B186" s="5">
        <v>41295</v>
      </c>
      <c r="E186" s="5">
        <v>20764</v>
      </c>
      <c r="F186" s="5">
        <v>13888</v>
      </c>
      <c r="G186" s="5">
        <v>4582</v>
      </c>
      <c r="H186" s="5">
        <v>1146</v>
      </c>
      <c r="I186" s="5">
        <v>465</v>
      </c>
      <c r="J186" s="5">
        <v>269</v>
      </c>
      <c r="K186" s="5">
        <v>62</v>
      </c>
      <c r="L186" s="5">
        <v>34</v>
      </c>
    </row>
    <row r="187" spans="1:12" ht="13" hidden="1" customHeight="1">
      <c r="A187" s="3" t="s">
        <v>196</v>
      </c>
      <c r="B187" s="5">
        <v>91188</v>
      </c>
      <c r="E187" s="5">
        <v>39508</v>
      </c>
      <c r="F187" s="5">
        <v>37029</v>
      </c>
      <c r="G187" s="5">
        <v>11029</v>
      </c>
      <c r="H187" s="5">
        <v>2377</v>
      </c>
      <c r="I187" s="5">
        <v>762</v>
      </c>
      <c r="J187" s="5">
        <v>382</v>
      </c>
      <c r="K187" s="5">
        <v>65</v>
      </c>
      <c r="L187" s="5">
        <v>24</v>
      </c>
    </row>
    <row r="188" spans="1:12" ht="13" hidden="1" customHeight="1">
      <c r="A188" s="3" t="s">
        <v>197</v>
      </c>
      <c r="B188" s="5">
        <v>5824</v>
      </c>
      <c r="E188" s="5">
        <v>830</v>
      </c>
      <c r="F188" s="5">
        <v>1507</v>
      </c>
      <c r="G188" s="5">
        <v>2051</v>
      </c>
      <c r="H188" s="5">
        <v>837</v>
      </c>
      <c r="I188" s="5">
        <v>375</v>
      </c>
      <c r="J188" s="5">
        <v>178</v>
      </c>
      <c r="K188" s="5">
        <v>29</v>
      </c>
      <c r="L188" s="5">
        <v>10</v>
      </c>
    </row>
    <row r="189" spans="1:12" ht="13" hidden="1" customHeight="1">
      <c r="A189" s="3" t="s">
        <v>198</v>
      </c>
      <c r="B189" s="5">
        <v>10073</v>
      </c>
      <c r="E189" s="5">
        <v>4702</v>
      </c>
      <c r="F189" s="5">
        <v>3773</v>
      </c>
      <c r="G189" s="5">
        <v>998</v>
      </c>
      <c r="H189" s="5">
        <v>284</v>
      </c>
      <c r="I189" s="5">
        <v>138</v>
      </c>
      <c r="J189" s="5">
        <v>126</v>
      </c>
      <c r="K189" s="5">
        <v>31</v>
      </c>
      <c r="L189" s="5">
        <v>12</v>
      </c>
    </row>
    <row r="190" spans="1:12" ht="13" hidden="1" customHeight="1">
      <c r="A190" s="3" t="s">
        <v>199</v>
      </c>
      <c r="B190" s="5">
        <v>70571</v>
      </c>
      <c r="E190" s="5">
        <v>33114</v>
      </c>
      <c r="F190" s="5">
        <v>26597</v>
      </c>
      <c r="G190" s="5">
        <v>7851</v>
      </c>
      <c r="H190" s="5">
        <v>1963</v>
      </c>
      <c r="I190" s="5">
        <v>701</v>
      </c>
      <c r="J190" s="5">
        <v>260</v>
      </c>
      <c r="K190" s="5">
        <v>49</v>
      </c>
      <c r="L190" s="5">
        <v>24</v>
      </c>
    </row>
    <row r="191" spans="1:12" ht="13" hidden="1" customHeight="1">
      <c r="A191" s="3" t="s">
        <v>200</v>
      </c>
      <c r="B191" s="5">
        <v>25491</v>
      </c>
      <c r="E191" s="5">
        <v>13622</v>
      </c>
      <c r="F191" s="5">
        <v>9114</v>
      </c>
      <c r="G191" s="5">
        <v>1897</v>
      </c>
      <c r="H191" s="5">
        <v>457</v>
      </c>
      <c r="I191" s="5">
        <v>203</v>
      </c>
      <c r="J191" s="5">
        <v>126</v>
      </c>
      <c r="K191" s="5">
        <v>36</v>
      </c>
      <c r="L191" s="5">
        <v>10</v>
      </c>
    </row>
    <row r="192" spans="1:12" ht="13" hidden="1" customHeight="1">
      <c r="A192" s="3" t="s">
        <v>201</v>
      </c>
      <c r="B192" s="5">
        <v>137132</v>
      </c>
      <c r="E192" s="5">
        <v>59482</v>
      </c>
      <c r="F192" s="5">
        <v>51353</v>
      </c>
      <c r="G192" s="5">
        <v>19909</v>
      </c>
      <c r="H192" s="5">
        <v>4380</v>
      </c>
      <c r="I192" s="5">
        <v>1125</v>
      </c>
      <c r="J192" s="5">
        <v>556</v>
      </c>
      <c r="K192" s="5">
        <v>143</v>
      </c>
      <c r="L192" s="5">
        <v>85</v>
      </c>
    </row>
    <row r="193" spans="1:12" ht="13" hidden="1" customHeight="1">
      <c r="A193" s="3" t="s">
        <v>202</v>
      </c>
      <c r="B193" s="5">
        <v>42949</v>
      </c>
      <c r="E193" s="5">
        <v>35819</v>
      </c>
      <c r="F193" s="5">
        <v>5900</v>
      </c>
      <c r="G193" s="5">
        <v>920</v>
      </c>
      <c r="H193" s="5">
        <v>197</v>
      </c>
      <c r="I193" s="5">
        <v>65</v>
      </c>
      <c r="J193" s="5">
        <v>32</v>
      </c>
      <c r="K193" s="5">
        <v>10</v>
      </c>
      <c r="L193" s="5">
        <v>6</v>
      </c>
    </row>
    <row r="194" spans="1:12" ht="13" hidden="1" customHeight="1">
      <c r="A194" s="3" t="s">
        <v>203</v>
      </c>
      <c r="B194" s="5">
        <v>11313</v>
      </c>
      <c r="E194" s="5">
        <v>7709</v>
      </c>
      <c r="F194" s="5">
        <v>2409</v>
      </c>
      <c r="G194" s="5">
        <v>632</v>
      </c>
      <c r="H194" s="5">
        <v>239</v>
      </c>
      <c r="I194" s="5">
        <v>141</v>
      </c>
      <c r="J194" s="5">
        <v>124</v>
      </c>
      <c r="K194" s="5">
        <v>31</v>
      </c>
      <c r="L194" s="5">
        <v>13</v>
      </c>
    </row>
    <row r="195" spans="1:12" ht="13" hidden="1" customHeight="1">
      <c r="A195" s="3" t="s">
        <v>204</v>
      </c>
      <c r="B195" s="5">
        <v>165575</v>
      </c>
      <c r="E195" s="5">
        <v>98426</v>
      </c>
      <c r="F195" s="5">
        <v>45796</v>
      </c>
      <c r="G195" s="5">
        <v>9880</v>
      </c>
      <c r="H195" s="5">
        <v>5138</v>
      </c>
      <c r="I195" s="5">
        <v>3391</v>
      </c>
      <c r="J195" s="5">
        <v>2140</v>
      </c>
      <c r="K195" s="5">
        <v>446</v>
      </c>
      <c r="L195" s="5">
        <v>209</v>
      </c>
    </row>
    <row r="196" spans="1:12" ht="13" hidden="1" customHeight="1">
      <c r="A196" s="3" t="s">
        <v>205</v>
      </c>
      <c r="B196" s="5">
        <v>7</v>
      </c>
      <c r="E196" s="5">
        <v>1</v>
      </c>
      <c r="F196" s="5">
        <v>0</v>
      </c>
      <c r="G196" s="5">
        <v>0</v>
      </c>
      <c r="H196" s="5">
        <v>0</v>
      </c>
      <c r="I196" s="5">
        <v>0</v>
      </c>
      <c r="J196" s="5">
        <v>0</v>
      </c>
      <c r="K196" s="5">
        <v>1</v>
      </c>
      <c r="L196" s="5">
        <v>1</v>
      </c>
    </row>
    <row r="197" spans="1:12" ht="13" hidden="1" customHeight="1">
      <c r="A197" s="3" t="s">
        <v>206</v>
      </c>
      <c r="B197" s="5">
        <v>54</v>
      </c>
      <c r="E197" s="5">
        <v>16</v>
      </c>
      <c r="F197" s="5">
        <v>17</v>
      </c>
      <c r="G197" s="5">
        <v>7</v>
      </c>
      <c r="H197" s="5">
        <v>3</v>
      </c>
      <c r="I197" s="5">
        <v>5</v>
      </c>
      <c r="J197" s="5">
        <v>3</v>
      </c>
      <c r="K197" s="5">
        <v>0</v>
      </c>
      <c r="L197" s="5">
        <v>1</v>
      </c>
    </row>
    <row r="198" spans="1:12" ht="13" hidden="1" customHeight="1">
      <c r="A198" s="3" t="s">
        <v>207</v>
      </c>
      <c r="B198" s="5">
        <v>62224</v>
      </c>
      <c r="E198" s="5">
        <v>40030</v>
      </c>
      <c r="F198" s="5">
        <v>18575</v>
      </c>
      <c r="G198" s="5">
        <v>1655</v>
      </c>
      <c r="H198" s="5">
        <v>741</v>
      </c>
      <c r="I198" s="5">
        <v>557</v>
      </c>
      <c r="J198" s="5">
        <v>446</v>
      </c>
      <c r="K198" s="5">
        <v>101</v>
      </c>
      <c r="L198" s="5">
        <v>49</v>
      </c>
    </row>
    <row r="199" spans="1:12" ht="13" hidden="1" customHeight="1">
      <c r="A199" s="3" t="s">
        <v>208</v>
      </c>
      <c r="B199" s="5">
        <v>103263</v>
      </c>
      <c r="E199" s="5">
        <v>58363</v>
      </c>
      <c r="F199" s="5">
        <v>27198</v>
      </c>
      <c r="G199" s="5">
        <v>8217</v>
      </c>
      <c r="H199" s="5">
        <v>4393</v>
      </c>
      <c r="I199" s="5">
        <v>2829</v>
      </c>
      <c r="J199" s="5">
        <v>1690</v>
      </c>
      <c r="K199" s="5">
        <v>343</v>
      </c>
      <c r="L199" s="5">
        <v>158</v>
      </c>
    </row>
    <row r="200" spans="1:12" ht="13" hidden="1" customHeight="1">
      <c r="A200" s="3" t="s">
        <v>209</v>
      </c>
      <c r="B200" s="5">
        <v>27</v>
      </c>
      <c r="E200" s="5">
        <v>16</v>
      </c>
      <c r="F200" s="5">
        <v>6</v>
      </c>
      <c r="G200" s="5">
        <v>1</v>
      </c>
      <c r="H200" s="5">
        <v>1</v>
      </c>
      <c r="I200" s="5">
        <v>0</v>
      </c>
      <c r="J200" s="5">
        <v>1</v>
      </c>
      <c r="K200" s="5">
        <v>1</v>
      </c>
      <c r="L200" s="5">
        <v>0</v>
      </c>
    </row>
    <row r="201" spans="1:12" ht="13" hidden="1" customHeight="1">
      <c r="A201" s="3" t="s">
        <v>210</v>
      </c>
      <c r="B201" s="5">
        <v>770</v>
      </c>
      <c r="E201" s="5">
        <v>210</v>
      </c>
      <c r="F201" s="5">
        <v>294</v>
      </c>
      <c r="G201" s="5">
        <v>126</v>
      </c>
      <c r="H201" s="5">
        <v>66</v>
      </c>
      <c r="I201" s="5">
        <v>30</v>
      </c>
      <c r="J201" s="5">
        <v>25</v>
      </c>
      <c r="K201" s="5">
        <v>8</v>
      </c>
      <c r="L201" s="5">
        <v>3</v>
      </c>
    </row>
    <row r="202" spans="1:12" ht="13" hidden="1" customHeight="1">
      <c r="A202" s="3" t="s">
        <v>211</v>
      </c>
      <c r="B202" s="5">
        <v>565</v>
      </c>
      <c r="E202" s="5">
        <v>143</v>
      </c>
      <c r="F202" s="5">
        <v>241</v>
      </c>
      <c r="G202" s="5">
        <v>99</v>
      </c>
      <c r="H202" s="5">
        <v>44</v>
      </c>
      <c r="I202" s="5">
        <v>18</v>
      </c>
      <c r="J202" s="5">
        <v>13</v>
      </c>
      <c r="K202" s="5">
        <v>2</v>
      </c>
      <c r="L202" s="5">
        <v>1</v>
      </c>
    </row>
    <row r="203" spans="1:12" ht="13" hidden="1" customHeight="1">
      <c r="A203" s="3" t="s">
        <v>212</v>
      </c>
      <c r="B203" s="5">
        <v>114</v>
      </c>
      <c r="E203" s="5">
        <v>51</v>
      </c>
      <c r="F203" s="5">
        <v>18</v>
      </c>
      <c r="G203" s="5">
        <v>11</v>
      </c>
      <c r="H203" s="5">
        <v>8</v>
      </c>
      <c r="I203" s="5">
        <v>7</v>
      </c>
      <c r="J203" s="5">
        <v>8</v>
      </c>
      <c r="K203" s="5">
        <v>5</v>
      </c>
      <c r="L203" s="5">
        <v>2</v>
      </c>
    </row>
    <row r="204" spans="1:12" ht="13" hidden="1" customHeight="1">
      <c r="A204" s="3" t="s">
        <v>213</v>
      </c>
      <c r="B204" s="5">
        <v>78</v>
      </c>
      <c r="E204" s="5">
        <v>14</v>
      </c>
      <c r="F204" s="5">
        <v>30</v>
      </c>
      <c r="G204" s="5">
        <v>15</v>
      </c>
      <c r="H204" s="5">
        <v>11</v>
      </c>
      <c r="I204" s="5">
        <v>4</v>
      </c>
      <c r="J204" s="5">
        <v>3</v>
      </c>
      <c r="K204" s="5">
        <v>1</v>
      </c>
      <c r="L204" s="5">
        <v>0</v>
      </c>
    </row>
    <row r="205" spans="1:12" ht="13" hidden="1" customHeight="1">
      <c r="A205" s="3" t="s">
        <v>214</v>
      </c>
      <c r="B205" s="5">
        <v>13</v>
      </c>
      <c r="E205" s="5">
        <v>2</v>
      </c>
      <c r="F205" s="5">
        <v>5</v>
      </c>
      <c r="G205" s="5">
        <v>1</v>
      </c>
      <c r="H205" s="5">
        <v>3</v>
      </c>
      <c r="I205" s="5">
        <v>1</v>
      </c>
      <c r="J205" s="5">
        <v>1</v>
      </c>
      <c r="K205" s="5">
        <v>0</v>
      </c>
      <c r="L205" s="5">
        <v>0</v>
      </c>
    </row>
    <row r="206" spans="1:12" ht="13" hidden="1" customHeight="1">
      <c r="A206" s="3" t="s">
        <v>215</v>
      </c>
      <c r="B206" s="5">
        <v>245</v>
      </c>
      <c r="E206" s="5">
        <v>107</v>
      </c>
      <c r="F206" s="5">
        <v>38</v>
      </c>
      <c r="G206" s="5">
        <v>22</v>
      </c>
      <c r="H206" s="5">
        <v>13</v>
      </c>
      <c r="I206" s="5">
        <v>21</v>
      </c>
      <c r="J206" s="5">
        <v>16</v>
      </c>
      <c r="K206" s="5">
        <v>6</v>
      </c>
      <c r="L206" s="5">
        <v>9</v>
      </c>
    </row>
    <row r="207" spans="1:12" ht="13" hidden="1" customHeight="1">
      <c r="A207" s="3" t="s">
        <v>216</v>
      </c>
      <c r="B207" s="5">
        <v>188</v>
      </c>
      <c r="E207" s="5">
        <v>80</v>
      </c>
      <c r="F207" s="5">
        <v>26</v>
      </c>
      <c r="G207" s="5">
        <v>17</v>
      </c>
      <c r="H207" s="5">
        <v>10</v>
      </c>
      <c r="I207" s="5">
        <v>17</v>
      </c>
      <c r="J207" s="5">
        <v>13</v>
      </c>
      <c r="K207" s="5">
        <v>6</v>
      </c>
      <c r="L207" s="5">
        <v>8</v>
      </c>
    </row>
    <row r="208" spans="1:12" ht="13" hidden="1" customHeight="1">
      <c r="A208" s="3" t="s">
        <v>217</v>
      </c>
      <c r="B208" s="5">
        <v>57</v>
      </c>
      <c r="E208" s="5">
        <v>27</v>
      </c>
      <c r="F208" s="5">
        <v>12</v>
      </c>
      <c r="G208" s="5">
        <v>5</v>
      </c>
      <c r="H208" s="5">
        <v>3</v>
      </c>
      <c r="I208" s="5">
        <v>4</v>
      </c>
      <c r="J208" s="5">
        <v>3</v>
      </c>
      <c r="K208" s="5">
        <v>0</v>
      </c>
      <c r="L208" s="5">
        <v>1</v>
      </c>
    </row>
    <row r="209" spans="1:12" ht="13" hidden="1" customHeight="1">
      <c r="A209" s="3" t="s">
        <v>218</v>
      </c>
      <c r="B209" s="5">
        <v>18263</v>
      </c>
      <c r="E209" s="5">
        <v>6022</v>
      </c>
      <c r="F209" s="5">
        <v>6016</v>
      </c>
      <c r="G209" s="5">
        <v>2547</v>
      </c>
      <c r="H209" s="5">
        <v>1369</v>
      </c>
      <c r="I209" s="5">
        <v>1154</v>
      </c>
      <c r="J209" s="5">
        <v>672</v>
      </c>
      <c r="K209" s="5">
        <v>209</v>
      </c>
      <c r="L209" s="5">
        <v>124</v>
      </c>
    </row>
    <row r="210" spans="1:12" ht="13" hidden="1" customHeight="1">
      <c r="A210" s="3" t="s">
        <v>219</v>
      </c>
      <c r="B210" s="5">
        <v>1742</v>
      </c>
      <c r="E210" s="5">
        <v>605</v>
      </c>
      <c r="F210" s="5">
        <v>445</v>
      </c>
      <c r="G210" s="5">
        <v>218</v>
      </c>
      <c r="H210" s="5">
        <v>137</v>
      </c>
      <c r="I210" s="5">
        <v>151</v>
      </c>
      <c r="J210" s="5">
        <v>110</v>
      </c>
      <c r="K210" s="5">
        <v>36</v>
      </c>
      <c r="L210" s="5">
        <v>17</v>
      </c>
    </row>
    <row r="211" spans="1:12" ht="13" hidden="1" customHeight="1">
      <c r="A211" s="3" t="s">
        <v>220</v>
      </c>
      <c r="B211" s="5">
        <v>16521</v>
      </c>
      <c r="E211" s="5">
        <v>5417</v>
      </c>
      <c r="F211" s="5">
        <v>5571</v>
      </c>
      <c r="G211" s="5">
        <v>2329</v>
      </c>
      <c r="H211" s="5">
        <v>1232</v>
      </c>
      <c r="I211" s="5">
        <v>1003</v>
      </c>
      <c r="J211" s="5">
        <v>562</v>
      </c>
      <c r="K211" s="5">
        <v>173</v>
      </c>
      <c r="L211" s="5">
        <v>107</v>
      </c>
    </row>
    <row r="212" spans="1:12" ht="13" hidden="1" customHeight="1">
      <c r="A212" s="3" t="s">
        <v>221</v>
      </c>
      <c r="B212" s="5">
        <v>20068</v>
      </c>
      <c r="E212" s="5">
        <v>16935</v>
      </c>
      <c r="F212" s="5">
        <v>1602</v>
      </c>
      <c r="G212" s="5">
        <v>586</v>
      </c>
      <c r="H212" s="5">
        <v>371</v>
      </c>
      <c r="I212" s="5">
        <v>389</v>
      </c>
      <c r="J212" s="5">
        <v>135</v>
      </c>
      <c r="K212" s="5">
        <v>24</v>
      </c>
      <c r="L212" s="5">
        <v>9</v>
      </c>
    </row>
    <row r="213" spans="1:12" ht="13" hidden="1" customHeight="1">
      <c r="A213" s="3" t="s">
        <v>222</v>
      </c>
      <c r="B213" s="5">
        <v>1</v>
      </c>
      <c r="E213" s="5">
        <v>0</v>
      </c>
      <c r="F213" s="5">
        <v>0</v>
      </c>
      <c r="G213" s="5">
        <v>0</v>
      </c>
      <c r="H213" s="5">
        <v>0</v>
      </c>
      <c r="I213" s="5">
        <v>0</v>
      </c>
      <c r="J213" s="5">
        <v>0</v>
      </c>
      <c r="K213" s="5">
        <v>0</v>
      </c>
      <c r="L213" s="5">
        <v>0</v>
      </c>
    </row>
    <row r="214" spans="1:12" ht="13" hidden="1" customHeight="1">
      <c r="A214" s="3" t="s">
        <v>223</v>
      </c>
      <c r="B214" s="5">
        <v>20067</v>
      </c>
      <c r="E214" s="5">
        <v>16935</v>
      </c>
      <c r="F214" s="5">
        <v>1602</v>
      </c>
      <c r="G214" s="5">
        <v>586</v>
      </c>
      <c r="H214" s="5">
        <v>371</v>
      </c>
      <c r="I214" s="5">
        <v>389</v>
      </c>
      <c r="J214" s="5">
        <v>135</v>
      </c>
      <c r="K214" s="5">
        <v>24</v>
      </c>
      <c r="L214" s="5">
        <v>9</v>
      </c>
    </row>
    <row r="215" spans="1:12" ht="13" hidden="1" customHeight="1">
      <c r="A215" s="3" t="s">
        <v>224</v>
      </c>
      <c r="B215" s="5">
        <v>29075</v>
      </c>
      <c r="E215" s="5">
        <v>11994</v>
      </c>
      <c r="F215" s="5">
        <v>7955</v>
      </c>
      <c r="G215" s="5">
        <v>3303</v>
      </c>
      <c r="H215" s="5">
        <v>2431</v>
      </c>
      <c r="I215" s="5">
        <v>1503</v>
      </c>
      <c r="J215" s="5">
        <v>1105</v>
      </c>
      <c r="K215" s="5">
        <v>354</v>
      </c>
      <c r="L215" s="5">
        <v>240</v>
      </c>
    </row>
    <row r="216" spans="1:12" ht="13" hidden="1" customHeight="1">
      <c r="A216" s="3" t="s">
        <v>225</v>
      </c>
      <c r="B216" s="5">
        <v>12611</v>
      </c>
      <c r="E216" s="5">
        <v>3319</v>
      </c>
      <c r="F216" s="5">
        <v>3242</v>
      </c>
      <c r="G216" s="5">
        <v>1850</v>
      </c>
      <c r="H216" s="5">
        <v>1595</v>
      </c>
      <c r="I216" s="5">
        <v>1043</v>
      </c>
      <c r="J216" s="5">
        <v>875</v>
      </c>
      <c r="K216" s="5">
        <v>297</v>
      </c>
      <c r="L216" s="5">
        <v>214</v>
      </c>
    </row>
    <row r="217" spans="1:12" ht="13" hidden="1" customHeight="1">
      <c r="A217" s="3" t="s">
        <v>226</v>
      </c>
      <c r="B217" s="5">
        <v>14463</v>
      </c>
      <c r="E217" s="5">
        <v>8338</v>
      </c>
      <c r="F217" s="5">
        <v>4084</v>
      </c>
      <c r="G217" s="5">
        <v>1048</v>
      </c>
      <c r="H217" s="5">
        <v>521</v>
      </c>
      <c r="I217" s="5">
        <v>272</v>
      </c>
      <c r="J217" s="5">
        <v>135</v>
      </c>
      <c r="K217" s="5">
        <v>38</v>
      </c>
      <c r="L217" s="5">
        <v>17</v>
      </c>
    </row>
    <row r="218" spans="1:12" ht="13" hidden="1" customHeight="1">
      <c r="A218" s="3" t="s">
        <v>227</v>
      </c>
      <c r="B218" s="5">
        <v>1074</v>
      </c>
      <c r="E218" s="5">
        <v>190</v>
      </c>
      <c r="F218" s="5">
        <v>316</v>
      </c>
      <c r="G218" s="5">
        <v>213</v>
      </c>
      <c r="H218" s="5">
        <v>181</v>
      </c>
      <c r="I218" s="5">
        <v>124</v>
      </c>
      <c r="J218" s="5">
        <v>35</v>
      </c>
      <c r="K218" s="5">
        <v>5</v>
      </c>
      <c r="L218" s="5">
        <v>7</v>
      </c>
    </row>
    <row r="219" spans="1:12" ht="13" hidden="1" customHeight="1">
      <c r="A219" s="3" t="s">
        <v>228</v>
      </c>
      <c r="B219" s="5">
        <v>927</v>
      </c>
      <c r="E219" s="5">
        <v>147</v>
      </c>
      <c r="F219" s="5">
        <v>313</v>
      </c>
      <c r="G219" s="5">
        <v>192</v>
      </c>
      <c r="H219" s="5">
        <v>134</v>
      </c>
      <c r="I219" s="5">
        <v>64</v>
      </c>
      <c r="J219" s="5">
        <v>60</v>
      </c>
      <c r="K219" s="5">
        <v>14</v>
      </c>
      <c r="L219" s="5">
        <v>2</v>
      </c>
    </row>
    <row r="220" spans="1:12" ht="13" hidden="1" customHeight="1">
      <c r="A220" s="3" t="s">
        <v>229</v>
      </c>
      <c r="B220" s="5">
        <v>253554</v>
      </c>
      <c r="E220" s="5">
        <v>72611</v>
      </c>
      <c r="F220" s="5">
        <v>100204</v>
      </c>
      <c r="G220" s="5">
        <v>55286</v>
      </c>
      <c r="H220" s="5">
        <v>15093</v>
      </c>
      <c r="I220" s="5">
        <v>6184</v>
      </c>
      <c r="J220" s="5">
        <v>3125</v>
      </c>
      <c r="K220" s="5">
        <v>557</v>
      </c>
      <c r="L220" s="5">
        <v>285</v>
      </c>
    </row>
    <row r="221" spans="1:12" ht="13" hidden="1" customHeight="1">
      <c r="A221" s="3" t="s">
        <v>230</v>
      </c>
      <c r="B221" s="5">
        <v>70747</v>
      </c>
      <c r="E221" s="5">
        <v>11021</v>
      </c>
      <c r="F221" s="5">
        <v>25008</v>
      </c>
      <c r="G221" s="5">
        <v>21257</v>
      </c>
      <c r="H221" s="5">
        <v>7367</v>
      </c>
      <c r="I221" s="5">
        <v>3545</v>
      </c>
      <c r="J221" s="5">
        <v>1946</v>
      </c>
      <c r="K221" s="5">
        <v>348</v>
      </c>
      <c r="L221" s="5">
        <v>172</v>
      </c>
    </row>
    <row r="222" spans="1:12" ht="13" hidden="1" customHeight="1">
      <c r="A222" s="3" t="s">
        <v>231</v>
      </c>
      <c r="B222" s="5">
        <v>14852</v>
      </c>
      <c r="E222" s="5">
        <v>5353</v>
      </c>
      <c r="F222" s="5">
        <v>5188</v>
      </c>
      <c r="G222" s="5">
        <v>2630</v>
      </c>
      <c r="H222" s="5">
        <v>722</v>
      </c>
      <c r="I222" s="5">
        <v>377</v>
      </c>
      <c r="J222" s="5">
        <v>289</v>
      </c>
      <c r="K222" s="5">
        <v>99</v>
      </c>
      <c r="L222" s="5">
        <v>82</v>
      </c>
    </row>
    <row r="223" spans="1:12" ht="13" hidden="1" customHeight="1">
      <c r="A223" s="3" t="s">
        <v>232</v>
      </c>
      <c r="B223" s="5">
        <v>167955</v>
      </c>
      <c r="E223" s="5">
        <v>56237</v>
      </c>
      <c r="F223" s="5">
        <v>70008</v>
      </c>
      <c r="G223" s="5">
        <v>31399</v>
      </c>
      <c r="H223" s="5">
        <v>7004</v>
      </c>
      <c r="I223" s="5">
        <v>2262</v>
      </c>
      <c r="J223" s="5">
        <v>890</v>
      </c>
      <c r="K223" s="5">
        <v>110</v>
      </c>
      <c r="L223" s="5">
        <v>31</v>
      </c>
    </row>
    <row r="224" spans="1:12" ht="13" hidden="1" customHeight="1">
      <c r="A224" s="3" t="s">
        <v>233</v>
      </c>
      <c r="B224" s="5">
        <v>11628</v>
      </c>
      <c r="E224" s="5">
        <v>7937</v>
      </c>
      <c r="F224" s="5">
        <v>2196</v>
      </c>
      <c r="G224" s="5">
        <v>614</v>
      </c>
      <c r="H224" s="5">
        <v>326</v>
      </c>
      <c r="I224" s="5">
        <v>285</v>
      </c>
      <c r="J224" s="5">
        <v>150</v>
      </c>
      <c r="K224" s="5">
        <v>50</v>
      </c>
      <c r="L224" s="5">
        <v>33</v>
      </c>
    </row>
    <row r="225" spans="1:12" ht="13" hidden="1" customHeight="1">
      <c r="A225" s="3" t="s">
        <v>234</v>
      </c>
      <c r="B225" s="5">
        <v>7260</v>
      </c>
      <c r="E225" s="5">
        <v>4199</v>
      </c>
      <c r="F225" s="5">
        <v>1837</v>
      </c>
      <c r="G225" s="5">
        <v>542</v>
      </c>
      <c r="H225" s="5">
        <v>274</v>
      </c>
      <c r="I225" s="5">
        <v>221</v>
      </c>
      <c r="J225" s="5">
        <v>96</v>
      </c>
      <c r="K225" s="5">
        <v>39</v>
      </c>
      <c r="L225" s="5">
        <v>24</v>
      </c>
    </row>
    <row r="226" spans="1:12" ht="13" hidden="1" customHeight="1">
      <c r="A226" s="3" t="s">
        <v>235</v>
      </c>
      <c r="B226" s="5">
        <v>4368</v>
      </c>
      <c r="E226" s="5">
        <v>3738</v>
      </c>
      <c r="F226" s="5">
        <v>359</v>
      </c>
      <c r="G226" s="5">
        <v>72</v>
      </c>
      <c r="H226" s="5">
        <v>52</v>
      </c>
      <c r="I226" s="5">
        <v>64</v>
      </c>
      <c r="J226" s="5">
        <v>54</v>
      </c>
      <c r="K226" s="5">
        <v>11</v>
      </c>
      <c r="L226" s="5">
        <v>9</v>
      </c>
    </row>
    <row r="227" spans="1:12" ht="13" hidden="1" customHeight="1">
      <c r="A227" s="3" t="s">
        <v>236</v>
      </c>
      <c r="B227" s="5">
        <v>8111</v>
      </c>
      <c r="E227" s="5">
        <v>4599</v>
      </c>
      <c r="F227" s="5">
        <v>2011</v>
      </c>
      <c r="G227" s="5">
        <v>599</v>
      </c>
      <c r="H227" s="5">
        <v>278</v>
      </c>
      <c r="I227" s="5">
        <v>284</v>
      </c>
      <c r="J227" s="5">
        <v>168</v>
      </c>
      <c r="K227" s="5">
        <v>55</v>
      </c>
      <c r="L227" s="5">
        <v>50</v>
      </c>
    </row>
    <row r="228" spans="1:12" ht="13" hidden="1" customHeight="1">
      <c r="A228" s="3" t="s">
        <v>237</v>
      </c>
      <c r="B228" s="5">
        <v>7781</v>
      </c>
      <c r="E228" s="5">
        <v>4483</v>
      </c>
      <c r="F228" s="5">
        <v>1877</v>
      </c>
      <c r="G228" s="5">
        <v>559</v>
      </c>
      <c r="H228" s="5">
        <v>265</v>
      </c>
      <c r="I228" s="5">
        <v>270</v>
      </c>
      <c r="J228" s="5">
        <v>165</v>
      </c>
      <c r="K228" s="5">
        <v>54</v>
      </c>
      <c r="L228" s="5">
        <v>44</v>
      </c>
    </row>
    <row r="229" spans="1:12" ht="13" hidden="1" customHeight="1">
      <c r="A229" s="3" t="s">
        <v>238</v>
      </c>
      <c r="B229" s="5">
        <v>330</v>
      </c>
      <c r="E229" s="5">
        <v>116</v>
      </c>
      <c r="F229" s="5">
        <v>134</v>
      </c>
      <c r="G229" s="5">
        <v>40</v>
      </c>
      <c r="H229" s="5">
        <v>13</v>
      </c>
      <c r="I229" s="5">
        <v>14</v>
      </c>
      <c r="J229" s="5">
        <v>3</v>
      </c>
      <c r="K229" s="5">
        <v>1</v>
      </c>
      <c r="L229" s="5">
        <v>6</v>
      </c>
    </row>
    <row r="230" spans="1:12" ht="13" hidden="1" customHeight="1">
      <c r="A230" s="3" t="s">
        <v>239</v>
      </c>
      <c r="B230" s="5">
        <v>1584</v>
      </c>
      <c r="E230" s="5">
        <v>689</v>
      </c>
      <c r="F230" s="5">
        <v>387</v>
      </c>
      <c r="G230" s="5">
        <v>193</v>
      </c>
      <c r="H230" s="5">
        <v>94</v>
      </c>
      <c r="I230" s="5">
        <v>117</v>
      </c>
      <c r="J230" s="5">
        <v>60</v>
      </c>
      <c r="K230" s="5">
        <v>10</v>
      </c>
      <c r="L230" s="5">
        <v>12</v>
      </c>
    </row>
    <row r="231" spans="1:12" ht="13" hidden="1" customHeight="1">
      <c r="A231" s="3" t="s">
        <v>240</v>
      </c>
      <c r="B231" s="5">
        <v>918</v>
      </c>
      <c r="E231" s="5">
        <v>389</v>
      </c>
      <c r="F231" s="5">
        <v>256</v>
      </c>
      <c r="G231" s="5">
        <v>129</v>
      </c>
      <c r="H231" s="5">
        <v>52</v>
      </c>
      <c r="I231" s="5">
        <v>58</v>
      </c>
      <c r="J231" s="5">
        <v>26</v>
      </c>
      <c r="K231" s="5">
        <v>2</v>
      </c>
      <c r="L231" s="5">
        <v>2</v>
      </c>
    </row>
    <row r="232" spans="1:12" ht="13" hidden="1" customHeight="1">
      <c r="A232" s="3" t="s">
        <v>241</v>
      </c>
      <c r="B232" s="5">
        <v>666</v>
      </c>
      <c r="E232" s="5">
        <v>300</v>
      </c>
      <c r="F232" s="5">
        <v>131</v>
      </c>
      <c r="G232" s="5">
        <v>64</v>
      </c>
      <c r="H232" s="5">
        <v>42</v>
      </c>
      <c r="I232" s="5">
        <v>59</v>
      </c>
      <c r="J232" s="5">
        <v>34</v>
      </c>
      <c r="K232" s="5">
        <v>8</v>
      </c>
      <c r="L232" s="5">
        <v>10</v>
      </c>
    </row>
    <row r="233" spans="1:12" ht="13" hidden="1" customHeight="1">
      <c r="A233" s="3" t="s">
        <v>242</v>
      </c>
      <c r="B233" s="5">
        <v>6457</v>
      </c>
      <c r="E233" s="5">
        <v>3325</v>
      </c>
      <c r="F233" s="5">
        <v>1754</v>
      </c>
      <c r="G233" s="5">
        <v>559</v>
      </c>
      <c r="H233" s="5">
        <v>263</v>
      </c>
      <c r="I233" s="5">
        <v>290</v>
      </c>
      <c r="J233" s="5">
        <v>162</v>
      </c>
      <c r="K233" s="5">
        <v>47</v>
      </c>
      <c r="L233" s="5">
        <v>32</v>
      </c>
    </row>
    <row r="234" spans="1:12" ht="13" hidden="1" customHeight="1">
      <c r="A234" s="3" t="s">
        <v>243</v>
      </c>
      <c r="B234" s="5">
        <v>2525</v>
      </c>
      <c r="E234" s="5">
        <v>1681</v>
      </c>
      <c r="F234" s="5">
        <v>441</v>
      </c>
      <c r="G234" s="5">
        <v>155</v>
      </c>
      <c r="H234" s="5">
        <v>79</v>
      </c>
      <c r="I234" s="5">
        <v>83</v>
      </c>
      <c r="J234" s="5">
        <v>56</v>
      </c>
      <c r="K234" s="5">
        <v>8</v>
      </c>
      <c r="L234" s="5">
        <v>14</v>
      </c>
    </row>
    <row r="235" spans="1:12" ht="13" hidden="1" customHeight="1">
      <c r="A235" s="3" t="s">
        <v>244</v>
      </c>
      <c r="B235" s="5">
        <v>772</v>
      </c>
      <c r="E235" s="5">
        <v>511</v>
      </c>
      <c r="F235" s="5">
        <v>133</v>
      </c>
      <c r="G235" s="5">
        <v>49</v>
      </c>
      <c r="H235" s="5">
        <v>28</v>
      </c>
      <c r="I235" s="5">
        <v>30</v>
      </c>
      <c r="J235" s="5">
        <v>11</v>
      </c>
      <c r="K235" s="5">
        <v>5</v>
      </c>
      <c r="L235" s="5">
        <v>1</v>
      </c>
    </row>
    <row r="236" spans="1:12" ht="13" hidden="1" customHeight="1">
      <c r="A236" s="3" t="s">
        <v>245</v>
      </c>
      <c r="B236" s="5">
        <v>205</v>
      </c>
      <c r="E236" s="5">
        <v>140</v>
      </c>
      <c r="F236" s="5">
        <v>38</v>
      </c>
      <c r="G236" s="5">
        <v>12</v>
      </c>
      <c r="H236" s="5">
        <v>6</v>
      </c>
      <c r="I236" s="5">
        <v>5</v>
      </c>
      <c r="J236" s="5">
        <v>0</v>
      </c>
      <c r="K236" s="5">
        <v>1</v>
      </c>
      <c r="L236" s="5">
        <v>2</v>
      </c>
    </row>
    <row r="237" spans="1:12" ht="13" hidden="1" customHeight="1">
      <c r="A237" s="3" t="s">
        <v>246</v>
      </c>
      <c r="B237" s="5">
        <v>2955</v>
      </c>
      <c r="E237" s="5">
        <v>993</v>
      </c>
      <c r="F237" s="5">
        <v>1142</v>
      </c>
      <c r="G237" s="5">
        <v>343</v>
      </c>
      <c r="H237" s="5">
        <v>150</v>
      </c>
      <c r="I237" s="5">
        <v>172</v>
      </c>
      <c r="J237" s="5">
        <v>95</v>
      </c>
      <c r="K237" s="5">
        <v>33</v>
      </c>
      <c r="L237" s="5">
        <v>15</v>
      </c>
    </row>
    <row r="238" spans="1:12" ht="13" hidden="1" customHeight="1">
      <c r="A238" s="3" t="s">
        <v>247</v>
      </c>
      <c r="B238" s="5">
        <v>35033</v>
      </c>
      <c r="E238" s="5">
        <v>21514</v>
      </c>
      <c r="F238" s="5">
        <v>7353</v>
      </c>
      <c r="G238" s="5">
        <v>2196</v>
      </c>
      <c r="H238" s="5">
        <v>1311</v>
      </c>
      <c r="I238" s="5">
        <v>1311</v>
      </c>
      <c r="J238" s="5">
        <v>761</v>
      </c>
      <c r="K238" s="5">
        <v>286</v>
      </c>
      <c r="L238" s="5">
        <v>146</v>
      </c>
    </row>
    <row r="239" spans="1:12" ht="13" hidden="1" customHeight="1">
      <c r="A239" s="3" t="s">
        <v>248</v>
      </c>
      <c r="B239" s="5">
        <v>35033</v>
      </c>
      <c r="E239" s="5">
        <v>21514</v>
      </c>
      <c r="F239" s="5">
        <v>7353</v>
      </c>
      <c r="G239" s="5">
        <v>2196</v>
      </c>
      <c r="H239" s="5">
        <v>1311</v>
      </c>
      <c r="I239" s="5">
        <v>1311</v>
      </c>
      <c r="J239" s="5">
        <v>761</v>
      </c>
      <c r="K239" s="5">
        <v>286</v>
      </c>
      <c r="L239" s="5">
        <v>146</v>
      </c>
    </row>
    <row r="240" spans="1:12" ht="13" hidden="1" customHeight="1">
      <c r="A240" s="3" t="s">
        <v>249</v>
      </c>
      <c r="B240" s="5">
        <v>6556</v>
      </c>
      <c r="E240" s="5">
        <v>4326</v>
      </c>
      <c r="F240" s="5">
        <v>1316</v>
      </c>
      <c r="G240" s="5">
        <v>359</v>
      </c>
      <c r="H240" s="5">
        <v>183</v>
      </c>
      <c r="I240" s="5">
        <v>162</v>
      </c>
      <c r="J240" s="5">
        <v>109</v>
      </c>
      <c r="K240" s="5">
        <v>47</v>
      </c>
      <c r="L240" s="5">
        <v>30</v>
      </c>
    </row>
    <row r="241" spans="1:12" ht="13" hidden="1" customHeight="1">
      <c r="A241" s="3" t="s">
        <v>250</v>
      </c>
      <c r="B241" s="5">
        <v>5455</v>
      </c>
      <c r="E241" s="5">
        <v>4211</v>
      </c>
      <c r="F241" s="5">
        <v>723</v>
      </c>
      <c r="G241" s="5">
        <v>179</v>
      </c>
      <c r="H241" s="5">
        <v>95</v>
      </c>
      <c r="I241" s="5">
        <v>93</v>
      </c>
      <c r="J241" s="5">
        <v>72</v>
      </c>
      <c r="K241" s="5">
        <v>37</v>
      </c>
      <c r="L241" s="5">
        <v>26</v>
      </c>
    </row>
    <row r="242" spans="1:12" ht="13" hidden="1" customHeight="1">
      <c r="A242" s="3" t="s">
        <v>251</v>
      </c>
      <c r="B242" s="5">
        <v>1101</v>
      </c>
      <c r="E242" s="5">
        <v>115</v>
      </c>
      <c r="F242" s="5">
        <v>593</v>
      </c>
      <c r="G242" s="5">
        <v>180</v>
      </c>
      <c r="H242" s="5">
        <v>88</v>
      </c>
      <c r="I242" s="5">
        <v>69</v>
      </c>
      <c r="J242" s="5">
        <v>37</v>
      </c>
      <c r="K242" s="5">
        <v>10</v>
      </c>
      <c r="L242" s="5">
        <v>4</v>
      </c>
    </row>
    <row r="243" spans="1:12" ht="13" hidden="1" customHeight="1">
      <c r="A243" s="3" t="s">
        <v>252</v>
      </c>
      <c r="B243" s="5">
        <v>3042</v>
      </c>
      <c r="E243" s="5">
        <v>1119</v>
      </c>
      <c r="F243" s="5">
        <v>1289</v>
      </c>
      <c r="G243" s="5">
        <v>274</v>
      </c>
      <c r="H243" s="5">
        <v>85</v>
      </c>
      <c r="I243" s="5">
        <v>72</v>
      </c>
      <c r="J243" s="5">
        <v>83</v>
      </c>
      <c r="K243" s="5">
        <v>37</v>
      </c>
      <c r="L243" s="5">
        <v>21</v>
      </c>
    </row>
    <row r="244" spans="1:12" ht="13" hidden="1" customHeight="1">
      <c r="A244" s="3" t="s">
        <v>253</v>
      </c>
      <c r="B244" s="5">
        <v>211</v>
      </c>
      <c r="E244" s="5">
        <v>12</v>
      </c>
      <c r="F244" s="5">
        <v>27</v>
      </c>
      <c r="G244" s="5">
        <v>16</v>
      </c>
      <c r="H244" s="5">
        <v>17</v>
      </c>
      <c r="I244" s="5">
        <v>23</v>
      </c>
      <c r="J244" s="5">
        <v>32</v>
      </c>
      <c r="K244" s="5">
        <v>17</v>
      </c>
      <c r="L244" s="5">
        <v>14</v>
      </c>
    </row>
    <row r="245" spans="1:12" ht="13" hidden="1" customHeight="1">
      <c r="A245" s="3" t="s">
        <v>254</v>
      </c>
      <c r="B245" s="5">
        <v>959</v>
      </c>
      <c r="E245" s="5">
        <v>219</v>
      </c>
      <c r="F245" s="5">
        <v>646</v>
      </c>
      <c r="G245" s="5">
        <v>92</v>
      </c>
      <c r="H245" s="5">
        <v>1</v>
      </c>
      <c r="I245" s="5">
        <v>1</v>
      </c>
      <c r="J245" s="5">
        <v>0</v>
      </c>
      <c r="K245" s="5">
        <v>0</v>
      </c>
      <c r="L245" s="5">
        <v>0</v>
      </c>
    </row>
    <row r="246" spans="1:12" ht="13" hidden="1" customHeight="1">
      <c r="A246" s="3" t="s">
        <v>255</v>
      </c>
      <c r="B246" s="5">
        <v>216</v>
      </c>
      <c r="E246" s="5">
        <v>104</v>
      </c>
      <c r="F246" s="5">
        <v>72</v>
      </c>
      <c r="G246" s="5">
        <v>19</v>
      </c>
      <c r="H246" s="5">
        <v>4</v>
      </c>
      <c r="I246" s="5">
        <v>9</v>
      </c>
      <c r="J246" s="5">
        <v>7</v>
      </c>
      <c r="K246" s="5">
        <v>1</v>
      </c>
      <c r="L246" s="5">
        <v>0</v>
      </c>
    </row>
    <row r="247" spans="1:12" ht="13" hidden="1" customHeight="1">
      <c r="A247" s="3" t="s">
        <v>256</v>
      </c>
      <c r="B247" s="5">
        <v>1656</v>
      </c>
      <c r="E247" s="5">
        <v>784</v>
      </c>
      <c r="F247" s="5">
        <v>544</v>
      </c>
      <c r="G247" s="5">
        <v>147</v>
      </c>
      <c r="H247" s="5">
        <v>63</v>
      </c>
      <c r="I247" s="5">
        <v>39</v>
      </c>
      <c r="J247" s="5">
        <v>44</v>
      </c>
      <c r="K247" s="5">
        <v>19</v>
      </c>
      <c r="L247" s="5">
        <v>7</v>
      </c>
    </row>
    <row r="248" spans="1:12" ht="13" hidden="1" customHeight="1">
      <c r="A248" s="3" t="s">
        <v>257</v>
      </c>
      <c r="B248" s="5">
        <v>1021</v>
      </c>
      <c r="E248" s="5">
        <v>212</v>
      </c>
      <c r="F248" s="5">
        <v>415</v>
      </c>
      <c r="G248" s="5">
        <v>162</v>
      </c>
      <c r="H248" s="5">
        <v>59</v>
      </c>
      <c r="I248" s="5">
        <v>31</v>
      </c>
      <c r="J248" s="5">
        <v>55</v>
      </c>
      <c r="K248" s="5">
        <v>21</v>
      </c>
      <c r="L248" s="5">
        <v>30</v>
      </c>
    </row>
    <row r="249" spans="1:12" ht="13" hidden="1" customHeight="1">
      <c r="A249" s="3" t="s">
        <v>258</v>
      </c>
      <c r="B249" s="5">
        <v>926</v>
      </c>
      <c r="E249" s="5">
        <v>173</v>
      </c>
      <c r="F249" s="5">
        <v>386</v>
      </c>
      <c r="G249" s="5">
        <v>148</v>
      </c>
      <c r="H249" s="5">
        <v>54</v>
      </c>
      <c r="I249" s="5">
        <v>30</v>
      </c>
      <c r="J249" s="5">
        <v>50</v>
      </c>
      <c r="K249" s="5">
        <v>20</v>
      </c>
      <c r="L249" s="5">
        <v>30</v>
      </c>
    </row>
    <row r="250" spans="1:12" ht="13" hidden="1" customHeight="1">
      <c r="A250" s="3" t="s">
        <v>259</v>
      </c>
      <c r="B250" s="5">
        <v>37</v>
      </c>
      <c r="E250" s="5">
        <v>0</v>
      </c>
      <c r="F250" s="5">
        <v>18</v>
      </c>
      <c r="G250" s="5">
        <v>10</v>
      </c>
      <c r="H250" s="5">
        <v>3</v>
      </c>
      <c r="I250" s="5">
        <v>1</v>
      </c>
      <c r="J250" s="5">
        <v>3</v>
      </c>
      <c r="K250" s="5">
        <v>1</v>
      </c>
      <c r="L250" s="5">
        <v>0</v>
      </c>
    </row>
    <row r="251" spans="1:12" ht="13" hidden="1" customHeight="1">
      <c r="A251" s="3" t="s">
        <v>260</v>
      </c>
      <c r="B251" s="5">
        <v>58</v>
      </c>
      <c r="E251" s="5">
        <v>39</v>
      </c>
      <c r="F251" s="5">
        <v>11</v>
      </c>
      <c r="G251" s="5">
        <v>4</v>
      </c>
      <c r="H251" s="5">
        <v>2</v>
      </c>
      <c r="I251" s="5">
        <v>0</v>
      </c>
      <c r="J251" s="5">
        <v>2</v>
      </c>
      <c r="K251" s="5">
        <v>0</v>
      </c>
      <c r="L251" s="5">
        <v>0</v>
      </c>
    </row>
    <row r="252" spans="1:12" ht="13" hidden="1" customHeight="1">
      <c r="A252" s="3" t="s">
        <v>261</v>
      </c>
      <c r="B252" s="5">
        <v>74788</v>
      </c>
      <c r="E252" s="5">
        <v>56602</v>
      </c>
      <c r="F252" s="5">
        <v>14431</v>
      </c>
      <c r="G252" s="5">
        <v>2402</v>
      </c>
      <c r="H252" s="5">
        <v>674</v>
      </c>
      <c r="I252" s="5">
        <v>354</v>
      </c>
      <c r="J252" s="5">
        <v>199</v>
      </c>
      <c r="K252" s="5">
        <v>58</v>
      </c>
      <c r="L252" s="5">
        <v>35</v>
      </c>
    </row>
    <row r="253" spans="1:12" ht="13" hidden="1" customHeight="1">
      <c r="A253" s="3" t="s">
        <v>262</v>
      </c>
      <c r="B253" s="5">
        <v>5994</v>
      </c>
      <c r="E253" s="5">
        <v>4108</v>
      </c>
      <c r="F253" s="5">
        <v>1295</v>
      </c>
      <c r="G253" s="5">
        <v>292</v>
      </c>
      <c r="H253" s="5">
        <v>118</v>
      </c>
      <c r="I253" s="5">
        <v>89</v>
      </c>
      <c r="J253" s="5">
        <v>54</v>
      </c>
      <c r="K253" s="5">
        <v>20</v>
      </c>
      <c r="L253" s="5">
        <v>12</v>
      </c>
    </row>
    <row r="254" spans="1:12" ht="13" hidden="1" customHeight="1">
      <c r="A254" s="3" t="s">
        <v>263</v>
      </c>
      <c r="B254" s="5">
        <v>68447</v>
      </c>
      <c r="E254" s="5">
        <v>52407</v>
      </c>
      <c r="F254" s="5">
        <v>13067</v>
      </c>
      <c r="G254" s="5">
        <v>2065</v>
      </c>
      <c r="H254" s="5">
        <v>519</v>
      </c>
      <c r="I254" s="5">
        <v>210</v>
      </c>
      <c r="J254" s="5">
        <v>106</v>
      </c>
      <c r="K254" s="5">
        <v>28</v>
      </c>
      <c r="L254" s="5">
        <v>19</v>
      </c>
    </row>
    <row r="255" spans="1:12" ht="13" hidden="1" customHeight="1">
      <c r="A255" s="3" t="s">
        <v>264</v>
      </c>
      <c r="B255" s="5">
        <v>347</v>
      </c>
      <c r="E255" s="5">
        <v>87</v>
      </c>
      <c r="F255" s="5">
        <v>69</v>
      </c>
      <c r="G255" s="5">
        <v>45</v>
      </c>
      <c r="H255" s="5">
        <v>37</v>
      </c>
      <c r="I255" s="5">
        <v>55</v>
      </c>
      <c r="J255" s="5">
        <v>39</v>
      </c>
      <c r="K255" s="5">
        <v>10</v>
      </c>
      <c r="L255" s="5">
        <v>4</v>
      </c>
    </row>
    <row r="256" spans="1:12" ht="13" hidden="1" customHeight="1">
      <c r="A256" s="3" t="s">
        <v>265</v>
      </c>
      <c r="B256" s="5">
        <v>186023</v>
      </c>
      <c r="E256" s="5">
        <v>134973</v>
      </c>
      <c r="F256" s="5">
        <v>39753</v>
      </c>
      <c r="G256" s="5">
        <v>7566</v>
      </c>
      <c r="H256" s="5">
        <v>2318</v>
      </c>
      <c r="I256" s="5">
        <v>917</v>
      </c>
      <c r="J256" s="5">
        <v>364</v>
      </c>
      <c r="K256" s="5">
        <v>67</v>
      </c>
      <c r="L256" s="5">
        <v>40</v>
      </c>
    </row>
    <row r="257" spans="1:12" ht="13" hidden="1" customHeight="1">
      <c r="A257" s="3" t="s">
        <v>266</v>
      </c>
      <c r="B257" s="5">
        <v>1268</v>
      </c>
      <c r="E257" s="5">
        <v>235</v>
      </c>
      <c r="F257" s="5">
        <v>789</v>
      </c>
      <c r="G257" s="5">
        <v>155</v>
      </c>
      <c r="H257" s="5">
        <v>58</v>
      </c>
      <c r="I257" s="5">
        <v>18</v>
      </c>
      <c r="J257" s="5">
        <v>12</v>
      </c>
      <c r="K257" s="5">
        <v>0</v>
      </c>
      <c r="L257" s="5">
        <v>0</v>
      </c>
    </row>
    <row r="258" spans="1:12" ht="13" hidden="1" customHeight="1">
      <c r="A258" s="3" t="s">
        <v>267</v>
      </c>
      <c r="B258" s="5">
        <v>127917</v>
      </c>
      <c r="E258" s="5">
        <v>99318</v>
      </c>
      <c r="F258" s="5">
        <v>23599</v>
      </c>
      <c r="G258" s="5">
        <v>3320</v>
      </c>
      <c r="H258" s="5">
        <v>927</v>
      </c>
      <c r="I258" s="5">
        <v>484</v>
      </c>
      <c r="J258" s="5">
        <v>204</v>
      </c>
      <c r="K258" s="5">
        <v>38</v>
      </c>
      <c r="L258" s="5">
        <v>18</v>
      </c>
    </row>
    <row r="259" spans="1:12" ht="13" hidden="1" customHeight="1">
      <c r="A259" s="3" t="s">
        <v>268</v>
      </c>
      <c r="B259" s="5">
        <v>56838</v>
      </c>
      <c r="E259" s="5">
        <v>35420</v>
      </c>
      <c r="F259" s="5">
        <v>15365</v>
      </c>
      <c r="G259" s="5">
        <v>4091</v>
      </c>
      <c r="H259" s="5">
        <v>1333</v>
      </c>
      <c r="I259" s="5">
        <v>415</v>
      </c>
      <c r="J259" s="5">
        <v>148</v>
      </c>
      <c r="K259" s="5">
        <v>29</v>
      </c>
      <c r="L259" s="5">
        <v>22</v>
      </c>
    </row>
    <row r="260" spans="1:12" ht="13" hidden="1" customHeight="1">
      <c r="A260" s="3" t="s">
        <v>269</v>
      </c>
      <c r="B260" s="5">
        <v>161892</v>
      </c>
      <c r="E260" s="5">
        <v>101996</v>
      </c>
      <c r="F260" s="5">
        <v>41092</v>
      </c>
      <c r="G260" s="5">
        <v>11160</v>
      </c>
      <c r="H260" s="5">
        <v>4526</v>
      </c>
      <c r="I260" s="5">
        <v>2601</v>
      </c>
      <c r="J260" s="5">
        <v>348</v>
      </c>
      <c r="K260" s="5">
        <v>83</v>
      </c>
      <c r="L260" s="5">
        <v>39</v>
      </c>
    </row>
    <row r="261" spans="1:12" ht="13" hidden="1" customHeight="1">
      <c r="A261" s="3" t="s">
        <v>270</v>
      </c>
      <c r="B261" s="5">
        <v>93604</v>
      </c>
      <c r="E261" s="5">
        <v>66278</v>
      </c>
      <c r="F261" s="5">
        <v>20050</v>
      </c>
      <c r="G261" s="5">
        <v>4003</v>
      </c>
      <c r="H261" s="5">
        <v>1903</v>
      </c>
      <c r="I261" s="5">
        <v>1174</v>
      </c>
      <c r="J261" s="5">
        <v>127</v>
      </c>
      <c r="K261" s="5">
        <v>33</v>
      </c>
      <c r="L261" s="5">
        <v>18</v>
      </c>
    </row>
    <row r="262" spans="1:12" ht="13" hidden="1" customHeight="1">
      <c r="A262" s="3" t="s">
        <v>271</v>
      </c>
      <c r="B262" s="5">
        <v>68288</v>
      </c>
      <c r="E262" s="5">
        <v>35718</v>
      </c>
      <c r="F262" s="5">
        <v>21042</v>
      </c>
      <c r="G262" s="5">
        <v>7157</v>
      </c>
      <c r="H262" s="5">
        <v>2623</v>
      </c>
      <c r="I262" s="5">
        <v>1427</v>
      </c>
      <c r="J262" s="5">
        <v>221</v>
      </c>
      <c r="K262" s="5">
        <v>50</v>
      </c>
      <c r="L262" s="5">
        <v>21</v>
      </c>
    </row>
    <row r="263" spans="1:12" ht="13" hidden="1" customHeight="1">
      <c r="A263" s="3" t="s">
        <v>272</v>
      </c>
      <c r="B263" s="5">
        <v>23521</v>
      </c>
      <c r="E263" s="5">
        <v>10659</v>
      </c>
      <c r="F263" s="5">
        <v>7866</v>
      </c>
      <c r="G263" s="5">
        <v>2340</v>
      </c>
      <c r="H263" s="5">
        <v>1067</v>
      </c>
      <c r="I263" s="5">
        <v>849</v>
      </c>
      <c r="J263" s="5">
        <v>404</v>
      </c>
      <c r="K263" s="5">
        <v>157</v>
      </c>
      <c r="L263" s="5">
        <v>86</v>
      </c>
    </row>
    <row r="264" spans="1:12" ht="13" hidden="1" customHeight="1">
      <c r="A264" s="3" t="s">
        <v>273</v>
      </c>
      <c r="B264" s="5">
        <v>3908</v>
      </c>
      <c r="E264" s="5">
        <v>1327</v>
      </c>
      <c r="F264" s="5">
        <v>1119</v>
      </c>
      <c r="G264" s="5">
        <v>450</v>
      </c>
      <c r="H264" s="5">
        <v>333</v>
      </c>
      <c r="I264" s="5">
        <v>299</v>
      </c>
      <c r="J264" s="5">
        <v>199</v>
      </c>
      <c r="K264" s="5">
        <v>81</v>
      </c>
      <c r="L264" s="5">
        <v>46</v>
      </c>
    </row>
    <row r="265" spans="1:12" ht="13" hidden="1" customHeight="1">
      <c r="A265" s="3" t="s">
        <v>274</v>
      </c>
      <c r="B265" s="5">
        <v>19613</v>
      </c>
      <c r="E265" s="5">
        <v>9332</v>
      </c>
      <c r="F265" s="5">
        <v>6747</v>
      </c>
      <c r="G265" s="5">
        <v>1890</v>
      </c>
      <c r="H265" s="5">
        <v>734</v>
      </c>
      <c r="I265" s="5">
        <v>550</v>
      </c>
      <c r="J265" s="5">
        <v>205</v>
      </c>
      <c r="K265" s="5">
        <v>76</v>
      </c>
      <c r="L265" s="5">
        <v>40</v>
      </c>
    </row>
    <row r="266" spans="1:12" ht="13" hidden="1" customHeight="1">
      <c r="A266" s="3" t="s">
        <v>275</v>
      </c>
      <c r="B266" s="5">
        <v>109957</v>
      </c>
      <c r="E266" s="5">
        <v>80880</v>
      </c>
      <c r="F266" s="5">
        <v>20166</v>
      </c>
      <c r="G266" s="5">
        <v>4356</v>
      </c>
      <c r="H266" s="5">
        <v>1896</v>
      </c>
      <c r="I266" s="5">
        <v>1650</v>
      </c>
      <c r="J266" s="5">
        <v>623</v>
      </c>
      <c r="K266" s="5">
        <v>187</v>
      </c>
      <c r="L266" s="5">
        <v>91</v>
      </c>
    </row>
    <row r="267" spans="1:12" ht="13" hidden="1" customHeight="1">
      <c r="A267" s="3" t="s">
        <v>276</v>
      </c>
      <c r="B267" s="5">
        <v>95497</v>
      </c>
      <c r="E267" s="5">
        <v>72370</v>
      </c>
      <c r="F267" s="5">
        <v>16073</v>
      </c>
      <c r="G267" s="5">
        <v>3451</v>
      </c>
      <c r="H267" s="5">
        <v>1498</v>
      </c>
      <c r="I267" s="5">
        <v>1310</v>
      </c>
      <c r="J267" s="5">
        <v>501</v>
      </c>
      <c r="K267" s="5">
        <v>142</v>
      </c>
      <c r="L267" s="5">
        <v>71</v>
      </c>
    </row>
    <row r="268" spans="1:12" ht="13" hidden="1" customHeight="1">
      <c r="A268" s="3" t="s">
        <v>277</v>
      </c>
      <c r="B268" s="5">
        <v>14460</v>
      </c>
      <c r="E268" s="5">
        <v>8510</v>
      </c>
      <c r="F268" s="5">
        <v>4093</v>
      </c>
      <c r="G268" s="5">
        <v>905</v>
      </c>
      <c r="H268" s="5">
        <v>398</v>
      </c>
      <c r="I268" s="5">
        <v>340</v>
      </c>
      <c r="J268" s="5">
        <v>122</v>
      </c>
      <c r="K268" s="5">
        <v>45</v>
      </c>
      <c r="L268" s="5">
        <v>20</v>
      </c>
    </row>
    <row r="269" spans="1:12" ht="13" hidden="1" customHeight="1">
      <c r="A269" s="3" t="s">
        <v>278</v>
      </c>
      <c r="B269" s="5">
        <v>8222</v>
      </c>
      <c r="E269" s="5">
        <v>5736</v>
      </c>
      <c r="F269" s="5">
        <v>1170</v>
      </c>
      <c r="G269" s="5">
        <v>392</v>
      </c>
      <c r="H269" s="5">
        <v>269</v>
      </c>
      <c r="I269" s="5">
        <v>247</v>
      </c>
      <c r="J269" s="5">
        <v>181</v>
      </c>
      <c r="K269" s="5">
        <v>90</v>
      </c>
      <c r="L269" s="5">
        <v>72</v>
      </c>
    </row>
    <row r="270" spans="1:12" ht="13" hidden="1" customHeight="1">
      <c r="A270" s="3" t="s">
        <v>279</v>
      </c>
      <c r="B270" s="5">
        <v>5249</v>
      </c>
      <c r="E270" s="5">
        <v>3176</v>
      </c>
      <c r="F270" s="5">
        <v>895</v>
      </c>
      <c r="G270" s="5">
        <v>341</v>
      </c>
      <c r="H270" s="5">
        <v>234</v>
      </c>
      <c r="I270" s="5">
        <v>217</v>
      </c>
      <c r="J270" s="5">
        <v>168</v>
      </c>
      <c r="K270" s="5">
        <v>84</v>
      </c>
      <c r="L270" s="5">
        <v>71</v>
      </c>
    </row>
    <row r="271" spans="1:12" ht="13" hidden="1" customHeight="1">
      <c r="A271" s="3" t="s">
        <v>280</v>
      </c>
      <c r="B271" s="5">
        <v>2973</v>
      </c>
      <c r="E271" s="5">
        <v>2560</v>
      </c>
      <c r="F271" s="5">
        <v>275</v>
      </c>
      <c r="G271" s="5">
        <v>51</v>
      </c>
      <c r="H271" s="5">
        <v>35</v>
      </c>
      <c r="I271" s="5">
        <v>30</v>
      </c>
      <c r="J271" s="5">
        <v>13</v>
      </c>
      <c r="K271" s="5">
        <v>6</v>
      </c>
      <c r="L271" s="5">
        <v>1</v>
      </c>
    </row>
    <row r="272" spans="1:12" ht="13" hidden="1" customHeight="1">
      <c r="A272" s="3" t="s">
        <v>281</v>
      </c>
      <c r="B272" s="5">
        <v>46658</v>
      </c>
      <c r="E272" s="5">
        <v>32352</v>
      </c>
      <c r="F272" s="5">
        <v>9676</v>
      </c>
      <c r="G272" s="5">
        <v>2195</v>
      </c>
      <c r="H272" s="5">
        <v>1020</v>
      </c>
      <c r="I272" s="5">
        <v>897</v>
      </c>
      <c r="J272" s="5">
        <v>308</v>
      </c>
      <c r="K272" s="5">
        <v>89</v>
      </c>
      <c r="L272" s="5">
        <v>53</v>
      </c>
    </row>
    <row r="273" spans="1:12" ht="13" hidden="1" customHeight="1">
      <c r="A273" s="3" t="s">
        <v>282</v>
      </c>
      <c r="B273" s="5">
        <v>42971</v>
      </c>
      <c r="E273" s="5">
        <v>30292</v>
      </c>
      <c r="F273" s="5">
        <v>8564</v>
      </c>
      <c r="G273" s="5">
        <v>1980</v>
      </c>
      <c r="H273" s="5">
        <v>915</v>
      </c>
      <c r="I273" s="5">
        <v>788</v>
      </c>
      <c r="J273" s="5">
        <v>270</v>
      </c>
      <c r="K273" s="5">
        <v>63</v>
      </c>
      <c r="L273" s="5">
        <v>41</v>
      </c>
    </row>
    <row r="274" spans="1:12" ht="13" hidden="1" customHeight="1">
      <c r="A274" s="3" t="s">
        <v>283</v>
      </c>
      <c r="B274" s="5">
        <v>3687</v>
      </c>
      <c r="E274" s="5">
        <v>2060</v>
      </c>
      <c r="F274" s="5">
        <v>1112</v>
      </c>
      <c r="G274" s="5">
        <v>215</v>
      </c>
      <c r="H274" s="5">
        <v>105</v>
      </c>
      <c r="I274" s="5">
        <v>109</v>
      </c>
      <c r="J274" s="5">
        <v>38</v>
      </c>
      <c r="K274" s="5">
        <v>26</v>
      </c>
      <c r="L274" s="5">
        <v>12</v>
      </c>
    </row>
    <row r="275" spans="1:12" ht="13" hidden="1" customHeight="1">
      <c r="A275" s="3" t="s">
        <v>284</v>
      </c>
      <c r="B275" s="5">
        <v>67460</v>
      </c>
      <c r="E275" s="5">
        <v>55776</v>
      </c>
      <c r="F275" s="5">
        <v>8888</v>
      </c>
      <c r="G275" s="5">
        <v>1349</v>
      </c>
      <c r="H275" s="5">
        <v>619</v>
      </c>
      <c r="I275" s="5">
        <v>509</v>
      </c>
      <c r="J275" s="5">
        <v>194</v>
      </c>
      <c r="K275" s="5">
        <v>65</v>
      </c>
      <c r="L275" s="5">
        <v>25</v>
      </c>
    </row>
    <row r="276" spans="1:12" ht="13" hidden="1" customHeight="1">
      <c r="A276" s="3" t="s">
        <v>285</v>
      </c>
      <c r="B276" s="5">
        <v>3645</v>
      </c>
      <c r="E276" s="5">
        <v>2531</v>
      </c>
      <c r="F276" s="5">
        <v>760</v>
      </c>
      <c r="G276" s="5">
        <v>178</v>
      </c>
      <c r="H276" s="5">
        <v>83</v>
      </c>
      <c r="I276" s="5">
        <v>55</v>
      </c>
      <c r="J276" s="5">
        <v>26</v>
      </c>
      <c r="K276" s="5">
        <v>9</v>
      </c>
      <c r="L276" s="5">
        <v>1</v>
      </c>
    </row>
    <row r="277" spans="1:12" ht="13" hidden="1" customHeight="1">
      <c r="A277" s="3" t="s">
        <v>286</v>
      </c>
      <c r="B277" s="5">
        <v>13961</v>
      </c>
      <c r="E277" s="5">
        <v>10835</v>
      </c>
      <c r="F277" s="5">
        <v>2636</v>
      </c>
      <c r="G277" s="5">
        <v>330</v>
      </c>
      <c r="H277" s="5">
        <v>99</v>
      </c>
      <c r="I277" s="5">
        <v>46</v>
      </c>
      <c r="J277" s="5">
        <v>10</v>
      </c>
      <c r="K277" s="5">
        <v>2</v>
      </c>
      <c r="L277" s="5">
        <v>3</v>
      </c>
    </row>
    <row r="278" spans="1:12" ht="13" hidden="1" customHeight="1">
      <c r="A278" s="3" t="s">
        <v>287</v>
      </c>
      <c r="B278" s="5">
        <v>10466</v>
      </c>
      <c r="E278" s="5">
        <v>9255</v>
      </c>
      <c r="F278" s="5">
        <v>940</v>
      </c>
      <c r="G278" s="5">
        <v>137</v>
      </c>
      <c r="H278" s="5">
        <v>66</v>
      </c>
      <c r="I278" s="5">
        <v>45</v>
      </c>
      <c r="J278" s="5">
        <v>13</v>
      </c>
      <c r="K278" s="5">
        <v>4</v>
      </c>
      <c r="L278" s="5">
        <v>1</v>
      </c>
    </row>
    <row r="279" spans="1:12" ht="13" hidden="1" customHeight="1">
      <c r="A279" s="3" t="s">
        <v>288</v>
      </c>
      <c r="B279" s="5">
        <v>39388</v>
      </c>
      <c r="E279" s="5">
        <v>33155</v>
      </c>
      <c r="F279" s="5">
        <v>4552</v>
      </c>
      <c r="G279" s="5">
        <v>704</v>
      </c>
      <c r="H279" s="5">
        <v>371</v>
      </c>
      <c r="I279" s="5">
        <v>363</v>
      </c>
      <c r="J279" s="5">
        <v>145</v>
      </c>
      <c r="K279" s="5">
        <v>50</v>
      </c>
      <c r="L279" s="5">
        <v>20</v>
      </c>
    </row>
    <row r="280" spans="1:12" ht="13" hidden="1" customHeight="1">
      <c r="A280" s="3" t="s">
        <v>289</v>
      </c>
      <c r="B280" s="5">
        <v>10596</v>
      </c>
      <c r="E280" s="5">
        <v>5719</v>
      </c>
      <c r="F280" s="5">
        <v>3059</v>
      </c>
      <c r="G280" s="5">
        <v>1214</v>
      </c>
      <c r="H280" s="5">
        <v>363</v>
      </c>
      <c r="I280" s="5">
        <v>171</v>
      </c>
      <c r="J280" s="5">
        <v>52</v>
      </c>
      <c r="K280" s="5">
        <v>12</v>
      </c>
      <c r="L280" s="5">
        <v>4</v>
      </c>
    </row>
    <row r="281" spans="1:12" ht="13" hidden="1" customHeight="1">
      <c r="A281" s="3" t="s">
        <v>290</v>
      </c>
      <c r="B281" s="5">
        <v>10596</v>
      </c>
      <c r="E281" s="5">
        <v>5719</v>
      </c>
      <c r="F281" s="5">
        <v>3059</v>
      </c>
      <c r="G281" s="5">
        <v>1214</v>
      </c>
      <c r="H281" s="5">
        <v>363</v>
      </c>
      <c r="I281" s="5">
        <v>171</v>
      </c>
      <c r="J281" s="5">
        <v>52</v>
      </c>
      <c r="K281" s="5">
        <v>12</v>
      </c>
      <c r="L281" s="5">
        <v>4</v>
      </c>
    </row>
    <row r="282" spans="1:12" ht="13" hidden="1" customHeight="1">
      <c r="A282" s="3" t="s">
        <v>291</v>
      </c>
      <c r="B282" s="5">
        <v>22690</v>
      </c>
      <c r="E282" s="5">
        <v>13258</v>
      </c>
      <c r="F282" s="5">
        <v>5869</v>
      </c>
      <c r="G282" s="5">
        <v>1743</v>
      </c>
      <c r="H282" s="5">
        <v>899</v>
      </c>
      <c r="I282" s="5">
        <v>503</v>
      </c>
      <c r="J282" s="5">
        <v>282</v>
      </c>
      <c r="K282" s="5">
        <v>65</v>
      </c>
      <c r="L282" s="5">
        <v>34</v>
      </c>
    </row>
    <row r="283" spans="1:12" ht="13" hidden="1" customHeight="1">
      <c r="A283" s="3" t="s">
        <v>292</v>
      </c>
      <c r="B283" s="5">
        <v>5285</v>
      </c>
      <c r="E283" s="5">
        <v>3108</v>
      </c>
      <c r="F283" s="5">
        <v>1378</v>
      </c>
      <c r="G283" s="5">
        <v>422</v>
      </c>
      <c r="H283" s="5">
        <v>196</v>
      </c>
      <c r="I283" s="5">
        <v>87</v>
      </c>
      <c r="J283" s="5">
        <v>47</v>
      </c>
      <c r="K283" s="5">
        <v>16</v>
      </c>
      <c r="L283" s="5">
        <v>12</v>
      </c>
    </row>
    <row r="284" spans="1:12" ht="13" hidden="1" customHeight="1">
      <c r="A284" s="3" t="s">
        <v>293</v>
      </c>
      <c r="B284" s="5">
        <v>3186</v>
      </c>
      <c r="E284" s="5">
        <v>1565</v>
      </c>
      <c r="F284" s="5">
        <v>991</v>
      </c>
      <c r="G284" s="5">
        <v>322</v>
      </c>
      <c r="H284" s="5">
        <v>150</v>
      </c>
      <c r="I284" s="5">
        <v>101</v>
      </c>
      <c r="J284" s="5">
        <v>48</v>
      </c>
      <c r="K284" s="5">
        <v>4</v>
      </c>
      <c r="L284" s="5">
        <v>4</v>
      </c>
    </row>
    <row r="285" spans="1:12" ht="13" hidden="1" customHeight="1">
      <c r="A285" s="3" t="s">
        <v>294</v>
      </c>
      <c r="B285" s="5">
        <v>14034</v>
      </c>
      <c r="E285" s="5">
        <v>8541</v>
      </c>
      <c r="F285" s="5">
        <v>3412</v>
      </c>
      <c r="G285" s="5">
        <v>977</v>
      </c>
      <c r="H285" s="5">
        <v>542</v>
      </c>
      <c r="I285" s="5">
        <v>308</v>
      </c>
      <c r="J285" s="5">
        <v>179</v>
      </c>
      <c r="K285" s="5">
        <v>44</v>
      </c>
      <c r="L285" s="5">
        <v>17</v>
      </c>
    </row>
    <row r="286" spans="1:12" ht="13" hidden="1" customHeight="1">
      <c r="A286" s="3" t="s">
        <v>295</v>
      </c>
      <c r="B286" s="5">
        <v>185</v>
      </c>
      <c r="E286" s="5">
        <v>44</v>
      </c>
      <c r="F286" s="5">
        <v>88</v>
      </c>
      <c r="G286" s="5">
        <v>22</v>
      </c>
      <c r="H286" s="5">
        <v>11</v>
      </c>
      <c r="I286" s="5">
        <v>7</v>
      </c>
      <c r="J286" s="5">
        <v>8</v>
      </c>
      <c r="K286" s="5">
        <v>1</v>
      </c>
      <c r="L286" s="5">
        <v>1</v>
      </c>
    </row>
    <row r="287" spans="1:12" ht="13" hidden="1" customHeight="1">
      <c r="A287" s="3" t="s">
        <v>296</v>
      </c>
      <c r="B287" s="5">
        <v>5946</v>
      </c>
      <c r="E287" s="5">
        <v>4070</v>
      </c>
      <c r="F287" s="5">
        <v>901</v>
      </c>
      <c r="G287" s="5">
        <v>244</v>
      </c>
      <c r="H287" s="5">
        <v>129</v>
      </c>
      <c r="I287" s="5">
        <v>168</v>
      </c>
      <c r="J287" s="5">
        <v>146</v>
      </c>
      <c r="K287" s="5">
        <v>72</v>
      </c>
      <c r="L287" s="5">
        <v>69</v>
      </c>
    </row>
    <row r="288" spans="1:12" ht="13" hidden="1" customHeight="1">
      <c r="A288" s="3" t="s">
        <v>297</v>
      </c>
      <c r="B288" s="5">
        <v>3533</v>
      </c>
      <c r="E288" s="5">
        <v>2568</v>
      </c>
      <c r="F288" s="5">
        <v>578</v>
      </c>
      <c r="G288" s="5">
        <v>136</v>
      </c>
      <c r="H288" s="5">
        <v>78</v>
      </c>
      <c r="I288" s="5">
        <v>83</v>
      </c>
      <c r="J288" s="5">
        <v>51</v>
      </c>
      <c r="K288" s="5">
        <v>12</v>
      </c>
      <c r="L288" s="5">
        <v>10</v>
      </c>
    </row>
    <row r="289" spans="1:12" ht="13" hidden="1" customHeight="1">
      <c r="A289" s="3" t="s">
        <v>298</v>
      </c>
      <c r="B289" s="5">
        <v>595</v>
      </c>
      <c r="E289" s="5">
        <v>176</v>
      </c>
      <c r="F289" s="5">
        <v>78</v>
      </c>
      <c r="G289" s="5">
        <v>36</v>
      </c>
      <c r="H289" s="5">
        <v>13</v>
      </c>
      <c r="I289" s="5">
        <v>41</v>
      </c>
      <c r="J289" s="5">
        <v>40</v>
      </c>
      <c r="K289" s="5">
        <v>50</v>
      </c>
      <c r="L289" s="5">
        <v>48</v>
      </c>
    </row>
    <row r="290" spans="1:12" ht="13" hidden="1" customHeight="1">
      <c r="A290" s="3" t="s">
        <v>299</v>
      </c>
      <c r="B290" s="5">
        <v>1818</v>
      </c>
      <c r="E290" s="5">
        <v>1326</v>
      </c>
      <c r="F290" s="5">
        <v>245</v>
      </c>
      <c r="G290" s="5">
        <v>72</v>
      </c>
      <c r="H290" s="5">
        <v>38</v>
      </c>
      <c r="I290" s="5">
        <v>44</v>
      </c>
      <c r="J290" s="5">
        <v>55</v>
      </c>
      <c r="K290" s="5">
        <v>10</v>
      </c>
      <c r="L290" s="5">
        <v>11</v>
      </c>
    </row>
    <row r="291" spans="1:12" ht="13" hidden="1" customHeight="1">
      <c r="A291" s="3" t="s">
        <v>300</v>
      </c>
      <c r="B291" s="5">
        <v>14913</v>
      </c>
      <c r="E291" s="5">
        <v>8269</v>
      </c>
      <c r="F291" s="5">
        <v>4558</v>
      </c>
      <c r="G291" s="5">
        <v>1135</v>
      </c>
      <c r="H291" s="5">
        <v>385</v>
      </c>
      <c r="I291" s="5">
        <v>292</v>
      </c>
      <c r="J291" s="5">
        <v>154</v>
      </c>
      <c r="K291" s="5">
        <v>55</v>
      </c>
      <c r="L291" s="5">
        <v>35</v>
      </c>
    </row>
    <row r="292" spans="1:12" ht="13" hidden="1" customHeight="1">
      <c r="A292" s="3" t="s">
        <v>301</v>
      </c>
      <c r="B292" s="5">
        <v>9739</v>
      </c>
      <c r="E292" s="5">
        <v>3935</v>
      </c>
      <c r="F292" s="5">
        <v>4054</v>
      </c>
      <c r="G292" s="5">
        <v>985</v>
      </c>
      <c r="H292" s="5">
        <v>318</v>
      </c>
      <c r="I292" s="5">
        <v>239</v>
      </c>
      <c r="J292" s="5">
        <v>113</v>
      </c>
      <c r="K292" s="5">
        <v>41</v>
      </c>
      <c r="L292" s="5">
        <v>27</v>
      </c>
    </row>
    <row r="293" spans="1:12" ht="13" hidden="1" customHeight="1">
      <c r="A293" s="3" t="s">
        <v>302</v>
      </c>
      <c r="B293" s="5">
        <v>5174</v>
      </c>
      <c r="E293" s="5">
        <v>4334</v>
      </c>
      <c r="F293" s="5">
        <v>504</v>
      </c>
      <c r="G293" s="5">
        <v>150</v>
      </c>
      <c r="H293" s="5">
        <v>67</v>
      </c>
      <c r="I293" s="5">
        <v>53</v>
      </c>
      <c r="J293" s="5">
        <v>41</v>
      </c>
      <c r="K293" s="5">
        <v>14</v>
      </c>
      <c r="L293" s="5">
        <v>8</v>
      </c>
    </row>
    <row r="294" spans="1:12" ht="13" hidden="1" customHeight="1">
      <c r="A294" s="3" t="s">
        <v>303</v>
      </c>
      <c r="B294" s="5">
        <v>3337</v>
      </c>
      <c r="E294" s="5">
        <v>1877</v>
      </c>
      <c r="F294" s="5">
        <v>516</v>
      </c>
      <c r="G294" s="5">
        <v>225</v>
      </c>
      <c r="H294" s="5">
        <v>158</v>
      </c>
      <c r="I294" s="5">
        <v>202</v>
      </c>
      <c r="J294" s="5">
        <v>141</v>
      </c>
      <c r="K294" s="5">
        <v>83</v>
      </c>
      <c r="L294" s="5">
        <v>60</v>
      </c>
    </row>
    <row r="295" spans="1:12" ht="13" hidden="1" customHeight="1">
      <c r="A295" s="3" t="s">
        <v>304</v>
      </c>
      <c r="B295" s="5">
        <v>1814</v>
      </c>
      <c r="E295" s="5">
        <v>904</v>
      </c>
      <c r="F295" s="5">
        <v>265</v>
      </c>
      <c r="G295" s="5">
        <v>120</v>
      </c>
      <c r="H295" s="5">
        <v>98</v>
      </c>
      <c r="I295" s="5">
        <v>143</v>
      </c>
      <c r="J295" s="5">
        <v>92</v>
      </c>
      <c r="K295" s="5">
        <v>73</v>
      </c>
      <c r="L295" s="5">
        <v>53</v>
      </c>
    </row>
    <row r="296" spans="1:12" ht="13" hidden="1" customHeight="1">
      <c r="A296" s="3" t="s">
        <v>305</v>
      </c>
      <c r="B296" s="5">
        <v>414</v>
      </c>
      <c r="E296" s="5">
        <v>30</v>
      </c>
      <c r="F296" s="5">
        <v>124</v>
      </c>
      <c r="G296" s="5">
        <v>81</v>
      </c>
      <c r="H296" s="5">
        <v>53</v>
      </c>
      <c r="I296" s="5">
        <v>57</v>
      </c>
      <c r="J296" s="5">
        <v>44</v>
      </c>
      <c r="K296" s="5">
        <v>9</v>
      </c>
      <c r="L296" s="5">
        <v>7</v>
      </c>
    </row>
    <row r="297" spans="1:12" ht="13" hidden="1" customHeight="1">
      <c r="A297" s="3" t="s">
        <v>306</v>
      </c>
      <c r="B297" s="5">
        <v>1109</v>
      </c>
      <c r="E297" s="5">
        <v>943</v>
      </c>
      <c r="F297" s="5">
        <v>127</v>
      </c>
      <c r="G297" s="5">
        <v>24</v>
      </c>
      <c r="H297" s="5">
        <v>7</v>
      </c>
      <c r="I297" s="5">
        <v>2</v>
      </c>
      <c r="J297" s="5">
        <v>5</v>
      </c>
      <c r="K297" s="5">
        <v>1</v>
      </c>
      <c r="L297" s="5">
        <v>0</v>
      </c>
    </row>
    <row r="298" spans="1:12" ht="13" hidden="1" customHeight="1">
      <c r="A298" s="3" t="s">
        <v>307</v>
      </c>
      <c r="B298" s="5">
        <v>52218</v>
      </c>
      <c r="E298" s="5">
        <v>27279</v>
      </c>
      <c r="F298" s="5">
        <v>11711</v>
      </c>
      <c r="G298" s="5">
        <v>4883</v>
      </c>
      <c r="H298" s="5">
        <v>2785</v>
      </c>
      <c r="I298" s="5">
        <v>3225</v>
      </c>
      <c r="J298" s="5">
        <v>1254</v>
      </c>
      <c r="K298" s="5">
        <v>490</v>
      </c>
      <c r="L298" s="5">
        <v>291</v>
      </c>
    </row>
    <row r="299" spans="1:12" ht="13" hidden="1" customHeight="1">
      <c r="A299" s="3" t="s">
        <v>308</v>
      </c>
      <c r="B299" s="5">
        <v>1885</v>
      </c>
      <c r="E299" s="5">
        <v>110</v>
      </c>
      <c r="F299" s="5">
        <v>632</v>
      </c>
      <c r="G299" s="5">
        <v>346</v>
      </c>
      <c r="H299" s="5">
        <v>203</v>
      </c>
      <c r="I299" s="5">
        <v>249</v>
      </c>
      <c r="J299" s="5">
        <v>151</v>
      </c>
      <c r="K299" s="5">
        <v>83</v>
      </c>
      <c r="L299" s="5">
        <v>61</v>
      </c>
    </row>
    <row r="300" spans="1:12" ht="13" hidden="1" customHeight="1">
      <c r="A300" s="3" t="s">
        <v>309</v>
      </c>
      <c r="B300" s="5">
        <v>34649</v>
      </c>
      <c r="E300" s="5">
        <v>16913</v>
      </c>
      <c r="F300" s="5">
        <v>7751</v>
      </c>
      <c r="G300" s="5">
        <v>3455</v>
      </c>
      <c r="H300" s="5">
        <v>2141</v>
      </c>
      <c r="I300" s="5">
        <v>2579</v>
      </c>
      <c r="J300" s="5">
        <v>993</v>
      </c>
      <c r="K300" s="5">
        <v>371</v>
      </c>
      <c r="L300" s="5">
        <v>208</v>
      </c>
    </row>
    <row r="301" spans="1:12" ht="13" hidden="1" customHeight="1">
      <c r="A301" s="3" t="s">
        <v>310</v>
      </c>
      <c r="B301" s="5">
        <v>15684</v>
      </c>
      <c r="E301" s="5">
        <v>10256</v>
      </c>
      <c r="F301" s="5">
        <v>3328</v>
      </c>
      <c r="G301" s="5">
        <v>1082</v>
      </c>
      <c r="H301" s="5">
        <v>441</v>
      </c>
      <c r="I301" s="5">
        <v>397</v>
      </c>
      <c r="J301" s="5">
        <v>110</v>
      </c>
      <c r="K301" s="5">
        <v>36</v>
      </c>
      <c r="L301" s="5">
        <v>22</v>
      </c>
    </row>
    <row r="302" spans="1:12" ht="13" hidden="1" customHeight="1">
      <c r="A302" s="3" t="s">
        <v>311</v>
      </c>
      <c r="B302" s="5">
        <v>105659</v>
      </c>
      <c r="E302" s="5">
        <v>76171</v>
      </c>
      <c r="F302" s="5">
        <v>20704</v>
      </c>
      <c r="G302" s="5">
        <v>4332</v>
      </c>
      <c r="H302" s="5">
        <v>1736</v>
      </c>
      <c r="I302" s="5">
        <v>1508</v>
      </c>
      <c r="J302" s="5">
        <v>623</v>
      </c>
      <c r="K302" s="5">
        <v>205</v>
      </c>
      <c r="L302" s="5">
        <v>181</v>
      </c>
    </row>
    <row r="303" spans="1:12" ht="13" hidden="1" customHeight="1">
      <c r="A303" s="3" t="s">
        <v>312</v>
      </c>
      <c r="B303" s="5">
        <v>10265</v>
      </c>
      <c r="E303" s="5">
        <v>7235</v>
      </c>
      <c r="F303" s="5">
        <v>2306</v>
      </c>
      <c r="G303" s="5">
        <v>379</v>
      </c>
      <c r="H303" s="5">
        <v>149</v>
      </c>
      <c r="I303" s="5">
        <v>123</v>
      </c>
      <c r="J303" s="5">
        <v>40</v>
      </c>
      <c r="K303" s="5">
        <v>13</v>
      </c>
      <c r="L303" s="5">
        <v>11</v>
      </c>
    </row>
    <row r="304" spans="1:12" ht="13" hidden="1" customHeight="1">
      <c r="A304" s="3" t="s">
        <v>313</v>
      </c>
      <c r="B304" s="5">
        <v>392</v>
      </c>
      <c r="E304" s="5">
        <v>19</v>
      </c>
      <c r="F304" s="5">
        <v>79</v>
      </c>
      <c r="G304" s="5">
        <v>43</v>
      </c>
      <c r="H304" s="5">
        <v>36</v>
      </c>
      <c r="I304" s="5">
        <v>71</v>
      </c>
      <c r="J304" s="5">
        <v>41</v>
      </c>
      <c r="K304" s="5">
        <v>27</v>
      </c>
      <c r="L304" s="5">
        <v>18</v>
      </c>
    </row>
    <row r="305" spans="1:12" ht="13" hidden="1" customHeight="1">
      <c r="A305" s="3" t="s">
        <v>314</v>
      </c>
      <c r="B305" s="5">
        <v>7307</v>
      </c>
      <c r="E305" s="5">
        <v>4391</v>
      </c>
      <c r="F305" s="5">
        <v>1680</v>
      </c>
      <c r="G305" s="5">
        <v>539</v>
      </c>
      <c r="H305" s="5">
        <v>238</v>
      </c>
      <c r="I305" s="5">
        <v>240</v>
      </c>
      <c r="J305" s="5">
        <v>105</v>
      </c>
      <c r="K305" s="5">
        <v>30</v>
      </c>
      <c r="L305" s="5">
        <v>52</v>
      </c>
    </row>
    <row r="306" spans="1:12" ht="13" hidden="1" customHeight="1">
      <c r="A306" s="3" t="s">
        <v>315</v>
      </c>
      <c r="B306" s="5">
        <v>87695</v>
      </c>
      <c r="E306" s="5">
        <v>64526</v>
      </c>
      <c r="F306" s="5">
        <v>16639</v>
      </c>
      <c r="G306" s="5">
        <v>3371</v>
      </c>
      <c r="H306" s="5">
        <v>1313</v>
      </c>
      <c r="I306" s="5">
        <v>1074</v>
      </c>
      <c r="J306" s="5">
        <v>437</v>
      </c>
      <c r="K306" s="5">
        <v>135</v>
      </c>
      <c r="L306" s="5">
        <v>100</v>
      </c>
    </row>
    <row r="307" spans="1:12" ht="13" hidden="1" customHeight="1">
      <c r="A307" s="3" t="s">
        <v>316</v>
      </c>
      <c r="B307" s="5">
        <v>112749</v>
      </c>
      <c r="E307" s="5">
        <v>71642</v>
      </c>
      <c r="F307" s="5">
        <v>19403</v>
      </c>
      <c r="G307" s="5">
        <v>8452</v>
      </c>
      <c r="H307" s="5">
        <v>5407</v>
      </c>
      <c r="I307" s="5">
        <v>2968</v>
      </c>
      <c r="J307" s="5">
        <v>2582</v>
      </c>
      <c r="K307" s="5">
        <v>1308</v>
      </c>
      <c r="L307" s="5">
        <v>628</v>
      </c>
    </row>
    <row r="308" spans="1:12" ht="13" hidden="1" customHeight="1">
      <c r="A308" s="3" t="s">
        <v>317</v>
      </c>
      <c r="B308" s="5">
        <v>5267</v>
      </c>
      <c r="E308" s="5">
        <v>647</v>
      </c>
      <c r="F308" s="5">
        <v>1181</v>
      </c>
      <c r="G308" s="5">
        <v>1457</v>
      </c>
      <c r="H308" s="5">
        <v>1041</v>
      </c>
      <c r="I308" s="5">
        <v>504</v>
      </c>
      <c r="J308" s="5">
        <v>280</v>
      </c>
      <c r="K308" s="5">
        <v>93</v>
      </c>
      <c r="L308" s="5">
        <v>41</v>
      </c>
    </row>
    <row r="309" spans="1:12" ht="13" hidden="1" customHeight="1">
      <c r="A309" s="3" t="s">
        <v>318</v>
      </c>
      <c r="B309" s="5">
        <v>3167</v>
      </c>
      <c r="E309" s="5">
        <v>1406</v>
      </c>
      <c r="F309" s="5">
        <v>231</v>
      </c>
      <c r="G309" s="5">
        <v>73</v>
      </c>
      <c r="H309" s="5">
        <v>53</v>
      </c>
      <c r="I309" s="5">
        <v>136</v>
      </c>
      <c r="J309" s="5">
        <v>641</v>
      </c>
      <c r="K309" s="5">
        <v>432</v>
      </c>
      <c r="L309" s="5">
        <v>155</v>
      </c>
    </row>
    <row r="310" spans="1:12" ht="13" hidden="1" customHeight="1">
      <c r="A310" s="3" t="s">
        <v>319</v>
      </c>
      <c r="B310" s="5">
        <v>13473</v>
      </c>
      <c r="E310" s="5">
        <v>9276</v>
      </c>
      <c r="F310" s="5">
        <v>1459</v>
      </c>
      <c r="G310" s="5">
        <v>547</v>
      </c>
      <c r="H310" s="5">
        <v>417</v>
      </c>
      <c r="I310" s="5">
        <v>401</v>
      </c>
      <c r="J310" s="5">
        <v>575</v>
      </c>
      <c r="K310" s="5">
        <v>436</v>
      </c>
      <c r="L310" s="5">
        <v>255</v>
      </c>
    </row>
    <row r="311" spans="1:12" ht="13" hidden="1" customHeight="1">
      <c r="A311" s="3" t="s">
        <v>320</v>
      </c>
      <c r="B311" s="5">
        <v>5241</v>
      </c>
      <c r="E311" s="5">
        <v>3814</v>
      </c>
      <c r="F311" s="5">
        <v>781</v>
      </c>
      <c r="G311" s="5">
        <v>156</v>
      </c>
      <c r="H311" s="5">
        <v>126</v>
      </c>
      <c r="I311" s="5">
        <v>82</v>
      </c>
      <c r="J311" s="5">
        <v>94</v>
      </c>
      <c r="K311" s="5">
        <v>51</v>
      </c>
      <c r="L311" s="5">
        <v>47</v>
      </c>
    </row>
    <row r="312" spans="1:12" ht="13" hidden="1" customHeight="1">
      <c r="A312" s="3" t="s">
        <v>321</v>
      </c>
      <c r="B312" s="5">
        <v>84594</v>
      </c>
      <c r="E312" s="5">
        <v>56255</v>
      </c>
      <c r="F312" s="5">
        <v>15335</v>
      </c>
      <c r="G312" s="5">
        <v>6043</v>
      </c>
      <c r="H312" s="5">
        <v>3662</v>
      </c>
      <c r="I312" s="5">
        <v>1814</v>
      </c>
      <c r="J312" s="5">
        <v>972</v>
      </c>
      <c r="K312" s="5">
        <v>292</v>
      </c>
      <c r="L312" s="5">
        <v>125</v>
      </c>
    </row>
    <row r="313" spans="1:12" ht="13" hidden="1" customHeight="1">
      <c r="A313" s="3" t="s">
        <v>322</v>
      </c>
      <c r="B313" s="5">
        <v>1007</v>
      </c>
      <c r="E313" s="5">
        <v>244</v>
      </c>
      <c r="F313" s="5">
        <v>416</v>
      </c>
      <c r="G313" s="5">
        <v>176</v>
      </c>
      <c r="H313" s="5">
        <v>108</v>
      </c>
      <c r="I313" s="5">
        <v>31</v>
      </c>
      <c r="J313" s="5">
        <v>20</v>
      </c>
      <c r="K313" s="5">
        <v>4</v>
      </c>
      <c r="L313" s="5">
        <v>5</v>
      </c>
    </row>
    <row r="314" spans="1:12" ht="13" hidden="1" customHeight="1">
      <c r="A314" s="3" t="s">
        <v>323</v>
      </c>
      <c r="B314" s="5">
        <v>160849</v>
      </c>
      <c r="E314" s="5">
        <v>110768</v>
      </c>
      <c r="F314" s="5">
        <v>33619</v>
      </c>
      <c r="G314" s="5">
        <v>9985</v>
      </c>
      <c r="H314" s="5">
        <v>3380</v>
      </c>
      <c r="I314" s="5">
        <v>1838</v>
      </c>
      <c r="J314" s="5">
        <v>638</v>
      </c>
      <c r="K314" s="5">
        <v>203</v>
      </c>
      <c r="L314" s="5">
        <v>102</v>
      </c>
    </row>
    <row r="315" spans="1:12" ht="13" hidden="1" customHeight="1">
      <c r="A315" s="3" t="s">
        <v>324</v>
      </c>
      <c r="B315" s="5">
        <v>907</v>
      </c>
      <c r="E315" s="5">
        <v>78</v>
      </c>
      <c r="F315" s="5">
        <v>222</v>
      </c>
      <c r="G315" s="5">
        <v>117</v>
      </c>
      <c r="H315" s="5">
        <v>63</v>
      </c>
      <c r="I315" s="5">
        <v>46</v>
      </c>
      <c r="J315" s="5">
        <v>68</v>
      </c>
      <c r="K315" s="5">
        <v>50</v>
      </c>
      <c r="L315" s="5">
        <v>49</v>
      </c>
    </row>
    <row r="316" spans="1:12" ht="13" hidden="1" customHeight="1">
      <c r="A316" s="3" t="s">
        <v>325</v>
      </c>
      <c r="B316" s="5">
        <v>84044</v>
      </c>
      <c r="E316" s="5">
        <v>49889</v>
      </c>
      <c r="F316" s="5">
        <v>22594</v>
      </c>
      <c r="G316" s="5">
        <v>7319</v>
      </c>
      <c r="H316" s="5">
        <v>2477</v>
      </c>
      <c r="I316" s="5">
        <v>1291</v>
      </c>
      <c r="J316" s="5">
        <v>331</v>
      </c>
      <c r="K316" s="5">
        <v>83</v>
      </c>
      <c r="L316" s="5">
        <v>19</v>
      </c>
    </row>
    <row r="317" spans="1:12" ht="13" hidden="1" customHeight="1">
      <c r="A317" s="3" t="s">
        <v>326</v>
      </c>
      <c r="B317" s="5">
        <v>75898</v>
      </c>
      <c r="E317" s="5">
        <v>60801</v>
      </c>
      <c r="F317" s="5">
        <v>10803</v>
      </c>
      <c r="G317" s="5">
        <v>2549</v>
      </c>
      <c r="H317" s="5">
        <v>840</v>
      </c>
      <c r="I317" s="5">
        <v>501</v>
      </c>
      <c r="J317" s="5">
        <v>239</v>
      </c>
      <c r="K317" s="5">
        <v>70</v>
      </c>
      <c r="L317" s="5">
        <v>34</v>
      </c>
    </row>
    <row r="318" spans="1:12" ht="13" hidden="1" customHeight="1">
      <c r="A318" s="3" t="s">
        <v>327</v>
      </c>
      <c r="B318" s="5">
        <v>4801</v>
      </c>
      <c r="E318" s="5">
        <v>695</v>
      </c>
      <c r="F318" s="5">
        <v>275</v>
      </c>
      <c r="G318" s="5">
        <v>277</v>
      </c>
      <c r="H318" s="5">
        <v>366</v>
      </c>
      <c r="I318" s="5">
        <v>929</v>
      </c>
      <c r="J318" s="5">
        <v>1409</v>
      </c>
      <c r="K318" s="5">
        <v>527</v>
      </c>
      <c r="L318" s="5">
        <v>186</v>
      </c>
    </row>
    <row r="319" spans="1:12" ht="13" hidden="1" customHeight="1">
      <c r="A319" s="3" t="s">
        <v>328</v>
      </c>
      <c r="B319" s="5">
        <v>1382</v>
      </c>
      <c r="E319" s="5">
        <v>11</v>
      </c>
      <c r="F319" s="5">
        <v>49</v>
      </c>
      <c r="G319" s="5">
        <v>71</v>
      </c>
      <c r="H319" s="5">
        <v>127</v>
      </c>
      <c r="I319" s="5">
        <v>361</v>
      </c>
      <c r="J319" s="5">
        <v>542</v>
      </c>
      <c r="K319" s="5">
        <v>153</v>
      </c>
      <c r="L319" s="5">
        <v>48</v>
      </c>
    </row>
    <row r="320" spans="1:12" ht="13" hidden="1" customHeight="1">
      <c r="A320" s="3" t="s">
        <v>329</v>
      </c>
      <c r="B320" s="5">
        <v>420</v>
      </c>
      <c r="E320" s="5">
        <v>2</v>
      </c>
      <c r="F320" s="5">
        <v>33</v>
      </c>
      <c r="G320" s="5">
        <v>33</v>
      </c>
      <c r="H320" s="5">
        <v>38</v>
      </c>
      <c r="I320" s="5">
        <v>84</v>
      </c>
      <c r="J320" s="5">
        <v>117</v>
      </c>
      <c r="K320" s="5">
        <v>54</v>
      </c>
      <c r="L320" s="5">
        <v>36</v>
      </c>
    </row>
    <row r="321" spans="1:12" ht="13" hidden="1" customHeight="1">
      <c r="A321" s="3" t="s">
        <v>330</v>
      </c>
      <c r="B321" s="5">
        <v>2721</v>
      </c>
      <c r="E321" s="5">
        <v>680</v>
      </c>
      <c r="F321" s="5">
        <v>144</v>
      </c>
      <c r="G321" s="5">
        <v>138</v>
      </c>
      <c r="H321" s="5">
        <v>165</v>
      </c>
      <c r="I321" s="5">
        <v>433</v>
      </c>
      <c r="J321" s="5">
        <v>694</v>
      </c>
      <c r="K321" s="5">
        <v>301</v>
      </c>
      <c r="L321" s="5">
        <v>86</v>
      </c>
    </row>
    <row r="322" spans="1:12" ht="13" hidden="1" customHeight="1">
      <c r="A322" s="3" t="s">
        <v>331</v>
      </c>
      <c r="B322" s="5">
        <v>278</v>
      </c>
      <c r="E322" s="5">
        <v>2</v>
      </c>
      <c r="F322" s="5">
        <v>49</v>
      </c>
      <c r="G322" s="5">
        <v>35</v>
      </c>
      <c r="H322" s="5">
        <v>36</v>
      </c>
      <c r="I322" s="5">
        <v>51</v>
      </c>
      <c r="J322" s="5">
        <v>56</v>
      </c>
      <c r="K322" s="5">
        <v>19</v>
      </c>
      <c r="L322" s="5">
        <v>16</v>
      </c>
    </row>
    <row r="323" spans="1:12" ht="13" hidden="1" customHeight="1">
      <c r="A323" s="3" t="s">
        <v>332</v>
      </c>
      <c r="B323" s="5">
        <v>6103</v>
      </c>
      <c r="E323" s="5">
        <v>1630</v>
      </c>
      <c r="F323" s="5">
        <v>1238</v>
      </c>
      <c r="G323" s="5">
        <v>902</v>
      </c>
      <c r="H323" s="5">
        <v>618</v>
      </c>
      <c r="I323" s="5">
        <v>718</v>
      </c>
      <c r="J323" s="5">
        <v>497</v>
      </c>
      <c r="K323" s="5">
        <v>220</v>
      </c>
      <c r="L323" s="5">
        <v>154</v>
      </c>
    </row>
    <row r="324" spans="1:12" ht="13" hidden="1" customHeight="1">
      <c r="A324" s="3" t="s">
        <v>333</v>
      </c>
      <c r="B324" s="5">
        <v>3040</v>
      </c>
      <c r="E324" s="5">
        <v>943</v>
      </c>
      <c r="F324" s="5">
        <v>425</v>
      </c>
      <c r="G324" s="5">
        <v>335</v>
      </c>
      <c r="H324" s="5">
        <v>286</v>
      </c>
      <c r="I324" s="5">
        <v>414</v>
      </c>
      <c r="J324" s="5">
        <v>309</v>
      </c>
      <c r="K324" s="5">
        <v>142</v>
      </c>
      <c r="L324" s="5">
        <v>109</v>
      </c>
    </row>
    <row r="325" spans="1:12" ht="13" hidden="1" customHeight="1">
      <c r="A325" s="3" t="s">
        <v>334</v>
      </c>
      <c r="B325" s="5">
        <v>3063</v>
      </c>
      <c r="E325" s="5">
        <v>687</v>
      </c>
      <c r="F325" s="5">
        <v>813</v>
      </c>
      <c r="G325" s="5">
        <v>567</v>
      </c>
      <c r="H325" s="5">
        <v>332</v>
      </c>
      <c r="I325" s="5">
        <v>304</v>
      </c>
      <c r="J325" s="5">
        <v>188</v>
      </c>
      <c r="K325" s="5">
        <v>78</v>
      </c>
      <c r="L325" s="5">
        <v>45</v>
      </c>
    </row>
    <row r="326" spans="1:12" ht="13" hidden="1" customHeight="1">
      <c r="A326" s="3" t="s">
        <v>335</v>
      </c>
      <c r="B326" s="5">
        <v>45477</v>
      </c>
      <c r="E326" s="5">
        <v>36418</v>
      </c>
      <c r="F326" s="5">
        <v>5239</v>
      </c>
      <c r="G326" s="5">
        <v>1597</v>
      </c>
      <c r="H326" s="5">
        <v>848</v>
      </c>
      <c r="I326" s="5">
        <v>762</v>
      </c>
      <c r="J326" s="5">
        <v>370</v>
      </c>
      <c r="K326" s="5">
        <v>85</v>
      </c>
      <c r="L326" s="5">
        <v>96</v>
      </c>
    </row>
    <row r="327" spans="1:12" ht="13" hidden="1" customHeight="1">
      <c r="A327" s="3" t="s">
        <v>336</v>
      </c>
      <c r="B327" s="5">
        <v>45477</v>
      </c>
      <c r="E327" s="5">
        <v>36418</v>
      </c>
      <c r="F327" s="5">
        <v>5239</v>
      </c>
      <c r="G327" s="5">
        <v>1597</v>
      </c>
      <c r="H327" s="5">
        <v>848</v>
      </c>
      <c r="I327" s="5">
        <v>762</v>
      </c>
      <c r="J327" s="5">
        <v>370</v>
      </c>
      <c r="K327" s="5">
        <v>85</v>
      </c>
      <c r="L327" s="5">
        <v>96</v>
      </c>
    </row>
    <row r="328" spans="1:12" ht="13" hidden="1" customHeight="1">
      <c r="A328" s="3" t="s">
        <v>337</v>
      </c>
      <c r="B328" s="5">
        <v>4950</v>
      </c>
      <c r="E328" s="5">
        <v>3126</v>
      </c>
      <c r="F328" s="5">
        <v>950</v>
      </c>
      <c r="G328" s="5">
        <v>360</v>
      </c>
      <c r="H328" s="5">
        <v>202</v>
      </c>
      <c r="I328" s="5">
        <v>176</v>
      </c>
      <c r="J328" s="5">
        <v>83</v>
      </c>
      <c r="K328" s="5">
        <v>24</v>
      </c>
      <c r="L328" s="5">
        <v>16</v>
      </c>
    </row>
    <row r="329" spans="1:12" ht="13" hidden="1" customHeight="1">
      <c r="A329" s="3" t="s">
        <v>338</v>
      </c>
      <c r="B329" s="5">
        <v>4950</v>
      </c>
      <c r="E329" s="5">
        <v>3126</v>
      </c>
      <c r="F329" s="5">
        <v>950</v>
      </c>
      <c r="G329" s="5">
        <v>360</v>
      </c>
      <c r="H329" s="5">
        <v>202</v>
      </c>
      <c r="I329" s="5">
        <v>176</v>
      </c>
      <c r="J329" s="5">
        <v>83</v>
      </c>
      <c r="K329" s="5">
        <v>24</v>
      </c>
      <c r="L329" s="5">
        <v>16</v>
      </c>
    </row>
    <row r="330" spans="1:12" ht="13" hidden="1" customHeight="1">
      <c r="A330" s="3" t="s">
        <v>339</v>
      </c>
      <c r="B330" s="5">
        <v>11068</v>
      </c>
      <c r="E330" s="5">
        <v>4232</v>
      </c>
      <c r="F330" s="5">
        <v>5005</v>
      </c>
      <c r="G330" s="5">
        <v>1146</v>
      </c>
      <c r="H330" s="5">
        <v>255</v>
      </c>
      <c r="I330" s="5">
        <v>224</v>
      </c>
      <c r="J330" s="5">
        <v>129</v>
      </c>
      <c r="K330" s="5">
        <v>35</v>
      </c>
      <c r="L330" s="5">
        <v>20</v>
      </c>
    </row>
    <row r="331" spans="1:12" ht="13" hidden="1" customHeight="1">
      <c r="A331" s="3" t="s">
        <v>340</v>
      </c>
      <c r="B331" s="5">
        <v>11068</v>
      </c>
      <c r="E331" s="5">
        <v>4232</v>
      </c>
      <c r="F331" s="5">
        <v>5005</v>
      </c>
      <c r="G331" s="5">
        <v>1146</v>
      </c>
      <c r="H331" s="5">
        <v>255</v>
      </c>
      <c r="I331" s="5">
        <v>224</v>
      </c>
      <c r="J331" s="5">
        <v>129</v>
      </c>
      <c r="K331" s="5">
        <v>35</v>
      </c>
      <c r="L331" s="5">
        <v>20</v>
      </c>
    </row>
    <row r="332" spans="1:12" ht="13" hidden="1" customHeight="1">
      <c r="A332" s="3" t="s">
        <v>341</v>
      </c>
      <c r="B332" s="5">
        <v>45754</v>
      </c>
      <c r="E332" s="5">
        <v>19816</v>
      </c>
      <c r="F332" s="5">
        <v>13168</v>
      </c>
      <c r="G332" s="5">
        <v>5862</v>
      </c>
      <c r="H332" s="5">
        <v>2880</v>
      </c>
      <c r="I332" s="5">
        <v>2545</v>
      </c>
      <c r="J332" s="5">
        <v>869</v>
      </c>
      <c r="K332" s="5">
        <v>253</v>
      </c>
      <c r="L332" s="5">
        <v>223</v>
      </c>
    </row>
    <row r="333" spans="1:12" ht="13" hidden="1" customHeight="1">
      <c r="A333" s="3" t="s">
        <v>342</v>
      </c>
      <c r="B333" s="5">
        <v>32273</v>
      </c>
      <c r="E333" s="5">
        <v>14260</v>
      </c>
      <c r="F333" s="5">
        <v>8977</v>
      </c>
      <c r="G333" s="5">
        <v>4114</v>
      </c>
      <c r="H333" s="5">
        <v>2072</v>
      </c>
      <c r="I333" s="5">
        <v>1834</v>
      </c>
      <c r="J333" s="5">
        <v>605</v>
      </c>
      <c r="K333" s="5">
        <v>189</v>
      </c>
      <c r="L333" s="5">
        <v>136</v>
      </c>
    </row>
    <row r="334" spans="1:12" ht="13" hidden="1" customHeight="1">
      <c r="A334" s="3" t="s">
        <v>343</v>
      </c>
      <c r="B334" s="5">
        <v>13481</v>
      </c>
      <c r="E334" s="5">
        <v>5556</v>
      </c>
      <c r="F334" s="5">
        <v>4191</v>
      </c>
      <c r="G334" s="5">
        <v>1748</v>
      </c>
      <c r="H334" s="5">
        <v>808</v>
      </c>
      <c r="I334" s="5">
        <v>711</v>
      </c>
      <c r="J334" s="5">
        <v>264</v>
      </c>
      <c r="K334" s="5">
        <v>64</v>
      </c>
      <c r="L334" s="5">
        <v>87</v>
      </c>
    </row>
    <row r="335" spans="1:12" ht="13" hidden="1" customHeight="1">
      <c r="A335" s="3" t="s">
        <v>344</v>
      </c>
      <c r="B335" s="5">
        <v>48664</v>
      </c>
      <c r="E335" s="5">
        <v>23069</v>
      </c>
      <c r="F335" s="5">
        <v>13990</v>
      </c>
      <c r="G335" s="5">
        <v>5260</v>
      </c>
      <c r="H335" s="5">
        <v>2944</v>
      </c>
      <c r="I335" s="5">
        <v>1703</v>
      </c>
      <c r="J335" s="5">
        <v>1065</v>
      </c>
      <c r="K335" s="5">
        <v>324</v>
      </c>
      <c r="L335" s="5">
        <v>196</v>
      </c>
    </row>
    <row r="336" spans="1:12" ht="13" hidden="1" customHeight="1">
      <c r="A336" s="3" t="s">
        <v>345</v>
      </c>
      <c r="B336" s="5">
        <v>4455</v>
      </c>
      <c r="E336" s="5">
        <v>1116</v>
      </c>
      <c r="F336" s="5">
        <v>1800</v>
      </c>
      <c r="G336" s="5">
        <v>764</v>
      </c>
      <c r="H336" s="5">
        <v>393</v>
      </c>
      <c r="I336" s="5">
        <v>217</v>
      </c>
      <c r="J336" s="5">
        <v>130</v>
      </c>
      <c r="K336" s="5">
        <v>21</v>
      </c>
      <c r="L336" s="5">
        <v>9</v>
      </c>
    </row>
    <row r="337" spans="1:12" ht="13" hidden="1" customHeight="1">
      <c r="A337" s="3" t="s">
        <v>346</v>
      </c>
      <c r="B337" s="5">
        <v>395</v>
      </c>
      <c r="E337" s="5">
        <v>72</v>
      </c>
      <c r="F337" s="5">
        <v>145</v>
      </c>
      <c r="G337" s="5">
        <v>62</v>
      </c>
      <c r="H337" s="5">
        <v>40</v>
      </c>
      <c r="I337" s="5">
        <v>22</v>
      </c>
      <c r="J337" s="5">
        <v>20</v>
      </c>
      <c r="K337" s="5">
        <v>11</v>
      </c>
      <c r="L337" s="5">
        <v>8</v>
      </c>
    </row>
    <row r="338" spans="1:12" ht="13" hidden="1" customHeight="1">
      <c r="A338" s="3" t="s">
        <v>347</v>
      </c>
      <c r="B338" s="5">
        <v>43814</v>
      </c>
      <c r="E338" s="5">
        <v>21881</v>
      </c>
      <c r="F338" s="5">
        <v>12045</v>
      </c>
      <c r="G338" s="5">
        <v>4434</v>
      </c>
      <c r="H338" s="5">
        <v>2511</v>
      </c>
      <c r="I338" s="5">
        <v>1464</v>
      </c>
      <c r="J338" s="5">
        <v>915</v>
      </c>
      <c r="K338" s="5">
        <v>292</v>
      </c>
      <c r="L338" s="5">
        <v>179</v>
      </c>
    </row>
    <row r="339" spans="1:12" ht="13" hidden="1" customHeight="1">
      <c r="A339" s="3" t="s">
        <v>348</v>
      </c>
      <c r="B339" s="5">
        <v>29044</v>
      </c>
      <c r="E339" s="5">
        <v>20645</v>
      </c>
      <c r="F339" s="5">
        <v>6386</v>
      </c>
      <c r="G339" s="5">
        <v>1190</v>
      </c>
      <c r="H339" s="5">
        <v>530</v>
      </c>
      <c r="I339" s="5">
        <v>176</v>
      </c>
      <c r="J339" s="5">
        <v>70</v>
      </c>
      <c r="K339" s="5">
        <v>27</v>
      </c>
      <c r="L339" s="5">
        <v>6</v>
      </c>
    </row>
    <row r="340" spans="1:12" ht="13" hidden="1" customHeight="1">
      <c r="A340" s="3" t="s">
        <v>349</v>
      </c>
      <c r="B340" s="5">
        <v>9302</v>
      </c>
      <c r="E340" s="5">
        <v>6630</v>
      </c>
      <c r="F340" s="5">
        <v>1985</v>
      </c>
      <c r="G340" s="5">
        <v>389</v>
      </c>
      <c r="H340" s="5">
        <v>168</v>
      </c>
      <c r="I340" s="5">
        <v>74</v>
      </c>
      <c r="J340" s="5">
        <v>24</v>
      </c>
      <c r="K340" s="5">
        <v>16</v>
      </c>
      <c r="L340" s="5">
        <v>5</v>
      </c>
    </row>
    <row r="341" spans="1:12" ht="12.75" hidden="1" customHeight="1">
      <c r="A341" s="3" t="s">
        <v>350</v>
      </c>
      <c r="B341" s="5">
        <v>19742</v>
      </c>
      <c r="E341" s="5">
        <v>14015</v>
      </c>
      <c r="F341" s="5">
        <v>4401</v>
      </c>
      <c r="G341" s="5">
        <v>801</v>
      </c>
      <c r="H341" s="5">
        <v>362</v>
      </c>
      <c r="I341" s="5">
        <v>102</v>
      </c>
      <c r="J341" s="5">
        <v>46</v>
      </c>
      <c r="K341" s="5">
        <v>11</v>
      </c>
      <c r="L341" s="5">
        <v>1</v>
      </c>
    </row>
    <row r="342" spans="1:12" ht="12.75" hidden="1" customHeight="1">
      <c r="A342" s="3" t="s">
        <v>351</v>
      </c>
      <c r="B342" s="5">
        <v>137801</v>
      </c>
      <c r="E342" s="5">
        <v>75338</v>
      </c>
      <c r="F342" s="5">
        <v>47259</v>
      </c>
      <c r="G342" s="5">
        <v>10548</v>
      </c>
      <c r="H342" s="5">
        <v>3297</v>
      </c>
      <c r="I342" s="5">
        <v>830</v>
      </c>
      <c r="J342" s="5">
        <v>377</v>
      </c>
      <c r="K342" s="5">
        <v>94</v>
      </c>
      <c r="L342" s="5">
        <v>30</v>
      </c>
    </row>
    <row r="343" spans="1:12" ht="12.75" hidden="1" customHeight="1">
      <c r="A343" s="3" t="s">
        <v>352</v>
      </c>
      <c r="B343" s="5">
        <v>137801</v>
      </c>
      <c r="E343" s="5">
        <v>75338</v>
      </c>
      <c r="F343" s="5">
        <v>47259</v>
      </c>
      <c r="G343" s="5">
        <v>10548</v>
      </c>
      <c r="H343" s="5">
        <v>3297</v>
      </c>
      <c r="I343" s="5">
        <v>830</v>
      </c>
      <c r="J343" s="5">
        <v>377</v>
      </c>
      <c r="K343" s="5">
        <v>94</v>
      </c>
      <c r="L343" s="5">
        <v>30</v>
      </c>
    </row>
    <row r="344" spans="1:12" ht="13">
      <c r="A344" s="246" t="s">
        <v>353</v>
      </c>
      <c r="B344" s="247"/>
      <c r="C344" s="247"/>
      <c r="D344" s="247"/>
      <c r="E344" s="247"/>
      <c r="F344" s="247"/>
      <c r="G344" s="247"/>
      <c r="H344" s="247"/>
      <c r="I344" s="247"/>
      <c r="J344" s="247"/>
      <c r="K344" s="247"/>
      <c r="L344" s="247"/>
    </row>
    <row r="345" spans="1:12" ht="13">
      <c r="A345" s="20" t="s">
        <v>19</v>
      </c>
      <c r="B345" s="5">
        <v>629876</v>
      </c>
      <c r="C345" s="6">
        <f t="shared" ref="C345:C408" si="0">D345/$D$345</f>
        <v>1</v>
      </c>
      <c r="D345" s="19">
        <f>SUM(E345:L345)</f>
        <v>628520</v>
      </c>
      <c r="E345" s="5">
        <v>365634</v>
      </c>
      <c r="F345" s="5">
        <v>158687</v>
      </c>
      <c r="G345" s="5">
        <v>53214</v>
      </c>
      <c r="H345" s="5">
        <v>22558</v>
      </c>
      <c r="I345" s="5">
        <v>15229</v>
      </c>
      <c r="J345" s="5">
        <v>8947</v>
      </c>
      <c r="K345" s="5">
        <v>2774</v>
      </c>
      <c r="L345" s="5">
        <v>1477</v>
      </c>
    </row>
    <row r="346" spans="1:12" ht="13" hidden="1">
      <c r="A346" s="20" t="s">
        <v>20</v>
      </c>
      <c r="B346" s="5">
        <v>5</v>
      </c>
      <c r="C346" s="6">
        <f t="shared" si="0"/>
        <v>7.9551963342455287E-6</v>
      </c>
      <c r="D346" s="19">
        <f t="shared" ref="D346:D409" si="1">SUM(E346:L346)</f>
        <v>5</v>
      </c>
      <c r="E346" s="5">
        <v>5</v>
      </c>
      <c r="F346" s="5">
        <v>0</v>
      </c>
      <c r="G346" s="5">
        <v>0</v>
      </c>
      <c r="H346" s="5">
        <v>0</v>
      </c>
      <c r="I346" s="5">
        <v>0</v>
      </c>
      <c r="J346" s="5">
        <v>0</v>
      </c>
      <c r="K346" s="5">
        <v>0</v>
      </c>
      <c r="L346" s="5">
        <v>0</v>
      </c>
    </row>
    <row r="347" spans="1:12" ht="13" hidden="1">
      <c r="A347" s="20" t="s">
        <v>21</v>
      </c>
      <c r="B347" s="5">
        <v>5</v>
      </c>
      <c r="C347" s="6">
        <f t="shared" si="0"/>
        <v>7.9551963342455287E-6</v>
      </c>
      <c r="D347" s="19">
        <f t="shared" si="1"/>
        <v>5</v>
      </c>
      <c r="E347" s="5">
        <v>5</v>
      </c>
      <c r="F347" s="5">
        <v>0</v>
      </c>
      <c r="G347" s="5">
        <v>0</v>
      </c>
      <c r="H347" s="5">
        <v>0</v>
      </c>
      <c r="I347" s="5">
        <v>0</v>
      </c>
      <c r="J347" s="5">
        <v>0</v>
      </c>
      <c r="K347" s="5">
        <v>0</v>
      </c>
      <c r="L347" s="5">
        <v>0</v>
      </c>
    </row>
    <row r="348" spans="1:12" ht="13" hidden="1">
      <c r="A348" s="20" t="s">
        <v>22</v>
      </c>
      <c r="B348" s="5">
        <v>0</v>
      </c>
      <c r="C348" s="6">
        <f t="shared" si="0"/>
        <v>0</v>
      </c>
      <c r="D348" s="19">
        <f t="shared" si="1"/>
        <v>0</v>
      </c>
      <c r="E348" s="5">
        <v>0</v>
      </c>
      <c r="F348" s="5">
        <v>0</v>
      </c>
      <c r="G348" s="5">
        <v>0</v>
      </c>
      <c r="H348" s="5">
        <v>0</v>
      </c>
      <c r="I348" s="5">
        <v>0</v>
      </c>
      <c r="J348" s="5">
        <v>0</v>
      </c>
      <c r="K348" s="5">
        <v>0</v>
      </c>
      <c r="L348" s="5">
        <v>0</v>
      </c>
    </row>
    <row r="349" spans="1:12" ht="13" hidden="1">
      <c r="A349" s="20" t="s">
        <v>23</v>
      </c>
      <c r="B349" s="5">
        <v>0</v>
      </c>
      <c r="C349" s="6">
        <f t="shared" si="0"/>
        <v>0</v>
      </c>
      <c r="D349" s="19">
        <f t="shared" si="1"/>
        <v>0</v>
      </c>
      <c r="E349" s="5">
        <v>0</v>
      </c>
      <c r="F349" s="5">
        <v>0</v>
      </c>
      <c r="G349" s="5">
        <v>0</v>
      </c>
      <c r="H349" s="5">
        <v>0</v>
      </c>
      <c r="I349" s="5">
        <v>0</v>
      </c>
      <c r="J349" s="5">
        <v>0</v>
      </c>
      <c r="K349" s="5">
        <v>0</v>
      </c>
      <c r="L349" s="5">
        <v>0</v>
      </c>
    </row>
    <row r="350" spans="1:12" ht="13" hidden="1">
      <c r="A350" s="20" t="s">
        <v>24</v>
      </c>
      <c r="B350" s="5">
        <v>0</v>
      </c>
      <c r="C350" s="6">
        <f t="shared" si="0"/>
        <v>0</v>
      </c>
      <c r="D350" s="19">
        <f t="shared" si="1"/>
        <v>0</v>
      </c>
      <c r="E350" s="5">
        <v>0</v>
      </c>
      <c r="F350" s="5">
        <v>0</v>
      </c>
      <c r="G350" s="5">
        <v>0</v>
      </c>
      <c r="H350" s="5">
        <v>0</v>
      </c>
      <c r="I350" s="5">
        <v>0</v>
      </c>
      <c r="J350" s="5">
        <v>0</v>
      </c>
      <c r="K350" s="5">
        <v>0</v>
      </c>
      <c r="L350" s="5">
        <v>0</v>
      </c>
    </row>
    <row r="351" spans="1:12" ht="13" hidden="1">
      <c r="A351" s="20" t="s">
        <v>25</v>
      </c>
      <c r="B351" s="5">
        <v>0</v>
      </c>
      <c r="C351" s="6">
        <f t="shared" si="0"/>
        <v>0</v>
      </c>
      <c r="D351" s="19">
        <f t="shared" si="1"/>
        <v>0</v>
      </c>
      <c r="E351" s="5">
        <v>0</v>
      </c>
      <c r="F351" s="5">
        <v>0</v>
      </c>
      <c r="G351" s="5">
        <v>0</v>
      </c>
      <c r="H351" s="5">
        <v>0</v>
      </c>
      <c r="I351" s="5">
        <v>0</v>
      </c>
      <c r="J351" s="5">
        <v>0</v>
      </c>
      <c r="K351" s="5">
        <v>0</v>
      </c>
      <c r="L351" s="5">
        <v>0</v>
      </c>
    </row>
    <row r="352" spans="1:12" ht="13" hidden="1">
      <c r="A352" s="20" t="s">
        <v>26</v>
      </c>
      <c r="B352" s="5">
        <v>2</v>
      </c>
      <c r="C352" s="6">
        <f t="shared" si="0"/>
        <v>3.1820785336982117E-6</v>
      </c>
      <c r="D352" s="19">
        <f t="shared" si="1"/>
        <v>2</v>
      </c>
      <c r="E352" s="5">
        <v>0</v>
      </c>
      <c r="F352" s="5">
        <v>1</v>
      </c>
      <c r="G352" s="5">
        <v>1</v>
      </c>
      <c r="H352" s="5">
        <v>0</v>
      </c>
      <c r="I352" s="5">
        <v>0</v>
      </c>
      <c r="J352" s="5">
        <v>0</v>
      </c>
      <c r="K352" s="5">
        <v>0</v>
      </c>
      <c r="L352" s="5">
        <v>0</v>
      </c>
    </row>
    <row r="353" spans="1:12" ht="13" hidden="1">
      <c r="A353" s="20" t="s">
        <v>27</v>
      </c>
      <c r="B353" s="5">
        <v>1</v>
      </c>
      <c r="C353" s="6">
        <f t="shared" si="0"/>
        <v>1.5910392668491059E-6</v>
      </c>
      <c r="D353" s="19">
        <f t="shared" si="1"/>
        <v>1</v>
      </c>
      <c r="E353" s="5">
        <v>0</v>
      </c>
      <c r="F353" s="5">
        <v>1</v>
      </c>
      <c r="G353" s="5">
        <v>0</v>
      </c>
      <c r="H353" s="5">
        <v>0</v>
      </c>
      <c r="I353" s="5">
        <v>0</v>
      </c>
      <c r="J353" s="5">
        <v>0</v>
      </c>
      <c r="K353" s="5">
        <v>0</v>
      </c>
      <c r="L353" s="5">
        <v>0</v>
      </c>
    </row>
    <row r="354" spans="1:12" ht="13" hidden="1">
      <c r="A354" s="20" t="s">
        <v>28</v>
      </c>
      <c r="B354" s="5">
        <v>1</v>
      </c>
      <c r="C354" s="6">
        <f t="shared" si="0"/>
        <v>1.5910392668491059E-6</v>
      </c>
      <c r="D354" s="19">
        <f t="shared" si="1"/>
        <v>1</v>
      </c>
      <c r="E354" s="5">
        <v>0</v>
      </c>
      <c r="F354" s="5">
        <v>0</v>
      </c>
      <c r="G354" s="5">
        <v>1</v>
      </c>
      <c r="H354" s="5">
        <v>0</v>
      </c>
      <c r="I354" s="5">
        <v>0</v>
      </c>
      <c r="J354" s="5">
        <v>0</v>
      </c>
      <c r="K354" s="5">
        <v>0</v>
      </c>
      <c r="L354" s="5">
        <v>0</v>
      </c>
    </row>
    <row r="355" spans="1:12" ht="13" hidden="1">
      <c r="A355" s="20" t="s">
        <v>29</v>
      </c>
      <c r="B355" s="5">
        <v>154</v>
      </c>
      <c r="C355" s="6">
        <f t="shared" si="0"/>
        <v>2.418379685610641E-4</v>
      </c>
      <c r="D355" s="19">
        <f t="shared" si="1"/>
        <v>152</v>
      </c>
      <c r="E355" s="5">
        <v>53</v>
      </c>
      <c r="F355" s="5">
        <v>31</v>
      </c>
      <c r="G355" s="5">
        <v>19</v>
      </c>
      <c r="H355" s="5">
        <v>8</v>
      </c>
      <c r="I355" s="5">
        <v>27</v>
      </c>
      <c r="J355" s="5">
        <v>11</v>
      </c>
      <c r="K355" s="5">
        <v>3</v>
      </c>
      <c r="L355" s="5">
        <v>0</v>
      </c>
    </row>
    <row r="356" spans="1:12" ht="13" hidden="1">
      <c r="A356" s="20" t="s">
        <v>30</v>
      </c>
      <c r="B356" s="5">
        <v>141</v>
      </c>
      <c r="C356" s="6">
        <f t="shared" si="0"/>
        <v>2.2433653662572392E-4</v>
      </c>
      <c r="D356" s="19">
        <f t="shared" si="1"/>
        <v>141</v>
      </c>
      <c r="E356" s="5">
        <v>49</v>
      </c>
      <c r="F356" s="5">
        <v>29</v>
      </c>
      <c r="G356" s="5">
        <v>19</v>
      </c>
      <c r="H356" s="5">
        <v>8</v>
      </c>
      <c r="I356" s="5">
        <v>23</v>
      </c>
      <c r="J356" s="5">
        <v>11</v>
      </c>
      <c r="K356" s="5">
        <v>2</v>
      </c>
      <c r="L356" s="5">
        <v>0</v>
      </c>
    </row>
    <row r="357" spans="1:12" ht="13" hidden="1">
      <c r="A357" s="20" t="s">
        <v>31</v>
      </c>
      <c r="B357" s="5">
        <v>13</v>
      </c>
      <c r="C357" s="6">
        <f t="shared" si="0"/>
        <v>1.7501431935340164E-5</v>
      </c>
      <c r="D357" s="19">
        <f t="shared" si="1"/>
        <v>11</v>
      </c>
      <c r="E357" s="5">
        <v>4</v>
      </c>
      <c r="F357" s="5">
        <v>2</v>
      </c>
      <c r="G357" s="5">
        <v>0</v>
      </c>
      <c r="H357" s="5">
        <v>0</v>
      </c>
      <c r="I357" s="5">
        <v>4</v>
      </c>
      <c r="J357" s="5">
        <v>0</v>
      </c>
      <c r="K357" s="5">
        <v>1</v>
      </c>
      <c r="L357" s="5">
        <v>0</v>
      </c>
    </row>
    <row r="358" spans="1:12" ht="13" hidden="1">
      <c r="A358" s="20" t="s">
        <v>32</v>
      </c>
      <c r="B358" s="5">
        <v>3</v>
      </c>
      <c r="C358" s="6">
        <f t="shared" si="0"/>
        <v>4.7731178005473174E-6</v>
      </c>
      <c r="D358" s="19">
        <f t="shared" si="1"/>
        <v>3</v>
      </c>
      <c r="E358" s="5">
        <v>1</v>
      </c>
      <c r="F358" s="5">
        <v>0</v>
      </c>
      <c r="G358" s="5">
        <v>0</v>
      </c>
      <c r="H358" s="5">
        <v>1</v>
      </c>
      <c r="I358" s="5">
        <v>0</v>
      </c>
      <c r="J358" s="5">
        <v>1</v>
      </c>
      <c r="K358" s="5">
        <v>0</v>
      </c>
      <c r="L358" s="5">
        <v>0</v>
      </c>
    </row>
    <row r="359" spans="1:12" ht="13" hidden="1">
      <c r="A359" s="20" t="s">
        <v>33</v>
      </c>
      <c r="B359" s="5">
        <v>1</v>
      </c>
      <c r="C359" s="6">
        <f t="shared" si="0"/>
        <v>1.5910392668491059E-6</v>
      </c>
      <c r="D359" s="19">
        <f t="shared" si="1"/>
        <v>1</v>
      </c>
      <c r="E359" s="5">
        <v>0</v>
      </c>
      <c r="F359" s="5">
        <v>0</v>
      </c>
      <c r="G359" s="5">
        <v>0</v>
      </c>
      <c r="H359" s="5">
        <v>0</v>
      </c>
      <c r="I359" s="5">
        <v>0</v>
      </c>
      <c r="J359" s="5">
        <v>1</v>
      </c>
      <c r="K359" s="5">
        <v>0</v>
      </c>
      <c r="L359" s="5">
        <v>0</v>
      </c>
    </row>
    <row r="360" spans="1:12" ht="13" hidden="1">
      <c r="A360" s="20" t="s">
        <v>34</v>
      </c>
      <c r="B360" s="5">
        <v>2</v>
      </c>
      <c r="C360" s="6">
        <f t="shared" si="0"/>
        <v>3.1820785336982117E-6</v>
      </c>
      <c r="D360" s="19">
        <f t="shared" si="1"/>
        <v>2</v>
      </c>
      <c r="E360" s="5">
        <v>1</v>
      </c>
      <c r="F360" s="5">
        <v>0</v>
      </c>
      <c r="G360" s="5">
        <v>0</v>
      </c>
      <c r="H360" s="5">
        <v>1</v>
      </c>
      <c r="I360" s="5">
        <v>0</v>
      </c>
      <c r="J360" s="5">
        <v>0</v>
      </c>
      <c r="K360" s="5">
        <v>0</v>
      </c>
      <c r="L360" s="5">
        <v>0</v>
      </c>
    </row>
    <row r="361" spans="1:12" ht="13">
      <c r="A361" s="60" t="s">
        <v>35</v>
      </c>
      <c r="B361" s="5">
        <v>3051</v>
      </c>
      <c r="C361" s="6">
        <f t="shared" si="0"/>
        <v>4.7524342900782789E-3</v>
      </c>
      <c r="D361" s="19">
        <f t="shared" si="1"/>
        <v>2987</v>
      </c>
      <c r="E361" s="5">
        <v>570</v>
      </c>
      <c r="F361" s="5">
        <v>723</v>
      </c>
      <c r="G361" s="5">
        <v>529</v>
      </c>
      <c r="H361" s="5">
        <v>340</v>
      </c>
      <c r="I361" s="5">
        <v>331</v>
      </c>
      <c r="J361" s="5">
        <v>325</v>
      </c>
      <c r="K361" s="5">
        <v>108</v>
      </c>
      <c r="L361" s="5">
        <v>61</v>
      </c>
    </row>
    <row r="362" spans="1:12" ht="26" hidden="1">
      <c r="A362" s="60" t="s">
        <v>36</v>
      </c>
      <c r="B362" s="5">
        <v>573</v>
      </c>
      <c r="C362" s="6">
        <f t="shared" si="0"/>
        <v>8.6870743969961182E-4</v>
      </c>
      <c r="D362" s="19">
        <f t="shared" si="1"/>
        <v>546</v>
      </c>
      <c r="E362" s="5">
        <v>99</v>
      </c>
      <c r="F362" s="5">
        <v>75</v>
      </c>
      <c r="G362" s="5">
        <v>82</v>
      </c>
      <c r="H362" s="5">
        <v>60</v>
      </c>
      <c r="I362" s="5">
        <v>84</v>
      </c>
      <c r="J362" s="5">
        <v>89</v>
      </c>
      <c r="K362" s="5">
        <v>37</v>
      </c>
      <c r="L362" s="5">
        <v>20</v>
      </c>
    </row>
    <row r="363" spans="1:12" ht="13" hidden="1">
      <c r="A363" s="60" t="s">
        <v>37</v>
      </c>
      <c r="B363" s="5">
        <v>50</v>
      </c>
      <c r="C363" s="6">
        <f t="shared" si="0"/>
        <v>7.9551963342455297E-5</v>
      </c>
      <c r="D363" s="19">
        <f t="shared" si="1"/>
        <v>50</v>
      </c>
      <c r="E363" s="5">
        <v>7</v>
      </c>
      <c r="F363" s="5">
        <v>7</v>
      </c>
      <c r="G363" s="5">
        <v>5</v>
      </c>
      <c r="H363" s="5">
        <v>8</v>
      </c>
      <c r="I363" s="5">
        <v>8</v>
      </c>
      <c r="J363" s="5">
        <v>10</v>
      </c>
      <c r="K363" s="5">
        <v>2</v>
      </c>
      <c r="L363" s="5">
        <v>3</v>
      </c>
    </row>
    <row r="364" spans="1:12" ht="13" hidden="1">
      <c r="A364" s="60" t="s">
        <v>38</v>
      </c>
      <c r="B364" s="5">
        <v>119</v>
      </c>
      <c r="C364" s="6">
        <f t="shared" si="0"/>
        <v>1.8456055495449626E-4</v>
      </c>
      <c r="D364" s="19">
        <f t="shared" si="1"/>
        <v>116</v>
      </c>
      <c r="E364" s="5">
        <v>31</v>
      </c>
      <c r="F364" s="5">
        <v>24</v>
      </c>
      <c r="G364" s="5">
        <v>15</v>
      </c>
      <c r="H364" s="5">
        <v>11</v>
      </c>
      <c r="I364" s="5">
        <v>12</v>
      </c>
      <c r="J364" s="5">
        <v>12</v>
      </c>
      <c r="K364" s="5">
        <v>9</v>
      </c>
      <c r="L364" s="5">
        <v>2</v>
      </c>
    </row>
    <row r="365" spans="1:12" ht="13" hidden="1">
      <c r="A365" s="60" t="s">
        <v>39</v>
      </c>
      <c r="B365" s="5">
        <v>186</v>
      </c>
      <c r="C365" s="6">
        <f t="shared" si="0"/>
        <v>2.9275122510023549E-4</v>
      </c>
      <c r="D365" s="19">
        <f t="shared" si="1"/>
        <v>184</v>
      </c>
      <c r="E365" s="5">
        <v>30</v>
      </c>
      <c r="F365" s="5">
        <v>50</v>
      </c>
      <c r="G365" s="5">
        <v>48</v>
      </c>
      <c r="H365" s="5">
        <v>25</v>
      </c>
      <c r="I365" s="5">
        <v>16</v>
      </c>
      <c r="J365" s="5">
        <v>10</v>
      </c>
      <c r="K365" s="5">
        <v>1</v>
      </c>
      <c r="L365" s="5">
        <v>4</v>
      </c>
    </row>
    <row r="366" spans="1:12" ht="13" hidden="1">
      <c r="A366" s="60" t="s">
        <v>40</v>
      </c>
      <c r="B366" s="5">
        <v>176</v>
      </c>
      <c r="C366" s="6">
        <f t="shared" si="0"/>
        <v>2.7524979316489529E-4</v>
      </c>
      <c r="D366" s="19">
        <f t="shared" si="1"/>
        <v>173</v>
      </c>
      <c r="E366" s="5">
        <v>43</v>
      </c>
      <c r="F366" s="5">
        <v>56</v>
      </c>
      <c r="G366" s="5">
        <v>39</v>
      </c>
      <c r="H366" s="5">
        <v>7</v>
      </c>
      <c r="I366" s="5">
        <v>14</v>
      </c>
      <c r="J366" s="5">
        <v>9</v>
      </c>
      <c r="K366" s="5">
        <v>2</v>
      </c>
      <c r="L366" s="5">
        <v>3</v>
      </c>
    </row>
    <row r="367" spans="1:12" ht="26" hidden="1">
      <c r="A367" s="60" t="s">
        <v>41</v>
      </c>
      <c r="B367" s="5">
        <v>59</v>
      </c>
      <c r="C367" s="6">
        <f t="shared" si="0"/>
        <v>8.9098198943549927E-5</v>
      </c>
      <c r="D367" s="19">
        <f t="shared" si="1"/>
        <v>56</v>
      </c>
      <c r="E367" s="5">
        <v>7</v>
      </c>
      <c r="F367" s="5">
        <v>13</v>
      </c>
      <c r="G367" s="5">
        <v>12</v>
      </c>
      <c r="H367" s="5">
        <v>8</v>
      </c>
      <c r="I367" s="5">
        <v>7</v>
      </c>
      <c r="J367" s="5">
        <v>6</v>
      </c>
      <c r="K367" s="5">
        <v>2</v>
      </c>
      <c r="L367" s="5">
        <v>1</v>
      </c>
    </row>
    <row r="368" spans="1:12" ht="13" hidden="1">
      <c r="A368" s="60" t="s">
        <v>42</v>
      </c>
      <c r="B368" s="5">
        <v>1087</v>
      </c>
      <c r="C368" s="6">
        <f t="shared" si="0"/>
        <v>1.7183224081970343E-3</v>
      </c>
      <c r="D368" s="19">
        <f t="shared" si="1"/>
        <v>1080</v>
      </c>
      <c r="E368" s="5">
        <v>185</v>
      </c>
      <c r="F368" s="5">
        <v>316</v>
      </c>
      <c r="G368" s="5">
        <v>214</v>
      </c>
      <c r="H368" s="5">
        <v>130</v>
      </c>
      <c r="I368" s="5">
        <v>98</v>
      </c>
      <c r="J368" s="5">
        <v>95</v>
      </c>
      <c r="K368" s="5">
        <v>28</v>
      </c>
      <c r="L368" s="5">
        <v>14</v>
      </c>
    </row>
    <row r="369" spans="1:12" ht="13" hidden="1">
      <c r="A369" s="60" t="s">
        <v>43</v>
      </c>
      <c r="B369" s="5">
        <v>659</v>
      </c>
      <c r="C369" s="6">
        <f t="shared" si="0"/>
        <v>1.0214472093171259E-3</v>
      </c>
      <c r="D369" s="19">
        <f t="shared" si="1"/>
        <v>642</v>
      </c>
      <c r="E369" s="5">
        <v>149</v>
      </c>
      <c r="F369" s="5">
        <v>155</v>
      </c>
      <c r="G369" s="5">
        <v>101</v>
      </c>
      <c r="H369" s="5">
        <v>77</v>
      </c>
      <c r="I369" s="5">
        <v>69</v>
      </c>
      <c r="J369" s="5">
        <v>65</v>
      </c>
      <c r="K369" s="5">
        <v>16</v>
      </c>
      <c r="L369" s="5">
        <v>10</v>
      </c>
    </row>
    <row r="370" spans="1:12" ht="13" hidden="1">
      <c r="A370" s="60" t="s">
        <v>44</v>
      </c>
      <c r="B370" s="5">
        <v>142</v>
      </c>
      <c r="C370" s="6">
        <f t="shared" si="0"/>
        <v>2.2274549735887481E-4</v>
      </c>
      <c r="D370" s="19">
        <f t="shared" si="1"/>
        <v>140</v>
      </c>
      <c r="E370" s="5">
        <v>19</v>
      </c>
      <c r="F370" s="5">
        <v>27</v>
      </c>
      <c r="G370" s="5">
        <v>13</v>
      </c>
      <c r="H370" s="5">
        <v>14</v>
      </c>
      <c r="I370" s="5">
        <v>23</v>
      </c>
      <c r="J370" s="5">
        <v>29</v>
      </c>
      <c r="K370" s="5">
        <v>11</v>
      </c>
      <c r="L370" s="5">
        <v>4</v>
      </c>
    </row>
    <row r="371" spans="1:12" ht="13">
      <c r="A371" s="60" t="s">
        <v>45</v>
      </c>
      <c r="B371" s="5">
        <v>773</v>
      </c>
      <c r="C371" s="6">
        <f t="shared" si="0"/>
        <v>1.2139629606058677E-3</v>
      </c>
      <c r="D371" s="19">
        <f t="shared" si="1"/>
        <v>763</v>
      </c>
      <c r="E371" s="5">
        <v>248</v>
      </c>
      <c r="F371" s="5">
        <v>234</v>
      </c>
      <c r="G371" s="5">
        <v>89</v>
      </c>
      <c r="H371" s="5">
        <v>72</v>
      </c>
      <c r="I371" s="5">
        <v>52</v>
      </c>
      <c r="J371" s="5">
        <v>55</v>
      </c>
      <c r="K371" s="5">
        <v>11</v>
      </c>
      <c r="L371" s="5">
        <v>2</v>
      </c>
    </row>
    <row r="372" spans="1:12" ht="13" hidden="1">
      <c r="A372" s="20" t="s">
        <v>46</v>
      </c>
      <c r="B372" s="5">
        <v>773</v>
      </c>
      <c r="C372" s="6">
        <f t="shared" si="0"/>
        <v>1.2139629606058677E-3</v>
      </c>
      <c r="D372" s="19">
        <f t="shared" si="1"/>
        <v>763</v>
      </c>
      <c r="E372" s="5">
        <v>248</v>
      </c>
      <c r="F372" s="5">
        <v>234</v>
      </c>
      <c r="G372" s="5">
        <v>89</v>
      </c>
      <c r="H372" s="5">
        <v>72</v>
      </c>
      <c r="I372" s="5">
        <v>52</v>
      </c>
      <c r="J372" s="5">
        <v>55</v>
      </c>
      <c r="K372" s="5">
        <v>11</v>
      </c>
      <c r="L372" s="5">
        <v>2</v>
      </c>
    </row>
    <row r="373" spans="1:12" ht="13" hidden="1">
      <c r="A373" s="20" t="s">
        <v>47</v>
      </c>
      <c r="B373" s="5">
        <v>2</v>
      </c>
      <c r="C373" s="6">
        <f t="shared" si="0"/>
        <v>3.1820785336982117E-6</v>
      </c>
      <c r="D373" s="19">
        <f t="shared" si="1"/>
        <v>2</v>
      </c>
      <c r="E373" s="5">
        <v>2</v>
      </c>
      <c r="F373" s="5">
        <v>0</v>
      </c>
      <c r="G373" s="5">
        <v>0</v>
      </c>
      <c r="H373" s="5">
        <v>0</v>
      </c>
      <c r="I373" s="5">
        <v>0</v>
      </c>
      <c r="J373" s="5">
        <v>0</v>
      </c>
      <c r="K373" s="5">
        <v>0</v>
      </c>
      <c r="L373" s="5">
        <v>0</v>
      </c>
    </row>
    <row r="374" spans="1:12" ht="13" hidden="1">
      <c r="A374" s="20" t="s">
        <v>48</v>
      </c>
      <c r="B374" s="5">
        <v>2</v>
      </c>
      <c r="C374" s="6">
        <f t="shared" si="0"/>
        <v>3.1820785336982117E-6</v>
      </c>
      <c r="D374" s="19">
        <f t="shared" si="1"/>
        <v>2</v>
      </c>
      <c r="E374" s="5">
        <v>2</v>
      </c>
      <c r="F374" s="5">
        <v>0</v>
      </c>
      <c r="G374" s="5">
        <v>0</v>
      </c>
      <c r="H374" s="5">
        <v>0</v>
      </c>
      <c r="I374" s="5">
        <v>0</v>
      </c>
      <c r="J374" s="5">
        <v>0</v>
      </c>
      <c r="K374" s="5">
        <v>0</v>
      </c>
      <c r="L374" s="5">
        <v>0</v>
      </c>
    </row>
    <row r="375" spans="1:12" ht="13">
      <c r="A375" s="61" t="s">
        <v>49</v>
      </c>
      <c r="B375" s="5">
        <v>1659</v>
      </c>
      <c r="C375" s="6">
        <f t="shared" si="0"/>
        <v>2.6236237510341757E-3</v>
      </c>
      <c r="D375" s="19">
        <f t="shared" si="1"/>
        <v>1649</v>
      </c>
      <c r="E375" s="5">
        <v>572</v>
      </c>
      <c r="F375" s="5">
        <v>423</v>
      </c>
      <c r="G375" s="5">
        <v>181</v>
      </c>
      <c r="H375" s="5">
        <v>132</v>
      </c>
      <c r="I375" s="5">
        <v>187</v>
      </c>
      <c r="J375" s="5">
        <v>107</v>
      </c>
      <c r="K375" s="5">
        <v>36</v>
      </c>
      <c r="L375" s="5">
        <v>11</v>
      </c>
    </row>
    <row r="376" spans="1:12" ht="13" hidden="1">
      <c r="A376" s="61" t="s">
        <v>50</v>
      </c>
      <c r="B376" s="5">
        <v>144</v>
      </c>
      <c r="C376" s="6">
        <f t="shared" si="0"/>
        <v>2.2592757589257303E-4</v>
      </c>
      <c r="D376" s="19">
        <f t="shared" si="1"/>
        <v>142</v>
      </c>
      <c r="E376" s="5">
        <v>24</v>
      </c>
      <c r="F376" s="5">
        <v>40</v>
      </c>
      <c r="G376" s="5">
        <v>21</v>
      </c>
      <c r="H376" s="5">
        <v>13</v>
      </c>
      <c r="I376" s="5">
        <v>23</v>
      </c>
      <c r="J376" s="5">
        <v>14</v>
      </c>
      <c r="K376" s="5">
        <v>5</v>
      </c>
      <c r="L376" s="5">
        <v>2</v>
      </c>
    </row>
    <row r="377" spans="1:12" ht="13" hidden="1">
      <c r="A377" s="61" t="s">
        <v>51</v>
      </c>
      <c r="B377" s="5">
        <v>174</v>
      </c>
      <c r="C377" s="6">
        <f t="shared" si="0"/>
        <v>2.7365875389804618E-4</v>
      </c>
      <c r="D377" s="19">
        <f t="shared" si="1"/>
        <v>172</v>
      </c>
      <c r="E377" s="5">
        <v>22</v>
      </c>
      <c r="F377" s="5">
        <v>49</v>
      </c>
      <c r="G377" s="5">
        <v>25</v>
      </c>
      <c r="H377" s="5">
        <v>26</v>
      </c>
      <c r="I377" s="5">
        <v>29</v>
      </c>
      <c r="J377" s="5">
        <v>16</v>
      </c>
      <c r="K377" s="5">
        <v>5</v>
      </c>
      <c r="L377" s="5">
        <v>0</v>
      </c>
    </row>
    <row r="378" spans="1:12" ht="13" hidden="1">
      <c r="A378" s="61" t="s">
        <v>52</v>
      </c>
      <c r="B378" s="5">
        <v>321</v>
      </c>
      <c r="C378" s="6">
        <f t="shared" si="0"/>
        <v>5.0913256539171384E-4</v>
      </c>
      <c r="D378" s="19">
        <f t="shared" si="1"/>
        <v>320</v>
      </c>
      <c r="E378" s="5">
        <v>101</v>
      </c>
      <c r="F378" s="5">
        <v>66</v>
      </c>
      <c r="G378" s="5">
        <v>33</v>
      </c>
      <c r="H378" s="5">
        <v>34</v>
      </c>
      <c r="I378" s="5">
        <v>48</v>
      </c>
      <c r="J378" s="5">
        <v>33</v>
      </c>
      <c r="K378" s="5">
        <v>3</v>
      </c>
      <c r="L378" s="5">
        <v>2</v>
      </c>
    </row>
    <row r="379" spans="1:12" ht="13" hidden="1">
      <c r="A379" s="61" t="s">
        <v>53</v>
      </c>
      <c r="B379" s="5">
        <v>1020</v>
      </c>
      <c r="C379" s="6">
        <f t="shared" si="0"/>
        <v>1.6149048558518424E-3</v>
      </c>
      <c r="D379" s="19">
        <f t="shared" si="1"/>
        <v>1015</v>
      </c>
      <c r="E379" s="5">
        <v>425</v>
      </c>
      <c r="F379" s="5">
        <v>268</v>
      </c>
      <c r="G379" s="5">
        <v>102</v>
      </c>
      <c r="H379" s="5">
        <v>59</v>
      </c>
      <c r="I379" s="5">
        <v>87</v>
      </c>
      <c r="J379" s="5">
        <v>44</v>
      </c>
      <c r="K379" s="5">
        <v>23</v>
      </c>
      <c r="L379" s="5">
        <v>7</v>
      </c>
    </row>
    <row r="380" spans="1:12" ht="13">
      <c r="A380" s="61" t="s">
        <v>54</v>
      </c>
      <c r="B380" s="5">
        <v>2367</v>
      </c>
      <c r="C380" s="6">
        <f t="shared" si="0"/>
        <v>3.7596257875644372E-3</v>
      </c>
      <c r="D380" s="19">
        <f t="shared" si="1"/>
        <v>2363</v>
      </c>
      <c r="E380" s="5">
        <v>1070</v>
      </c>
      <c r="F380" s="5">
        <v>637</v>
      </c>
      <c r="G380" s="5">
        <v>294</v>
      </c>
      <c r="H380" s="5">
        <v>161</v>
      </c>
      <c r="I380" s="5">
        <v>135</v>
      </c>
      <c r="J380" s="5">
        <v>51</v>
      </c>
      <c r="K380" s="5">
        <v>12</v>
      </c>
      <c r="L380" s="5">
        <v>3</v>
      </c>
    </row>
    <row r="381" spans="1:12" ht="13" hidden="1">
      <c r="A381" s="61" t="s">
        <v>55</v>
      </c>
      <c r="B381" s="5">
        <v>2126</v>
      </c>
      <c r="C381" s="6">
        <f t="shared" si="0"/>
        <v>3.3777763635206518E-3</v>
      </c>
      <c r="D381" s="19">
        <f t="shared" si="1"/>
        <v>2123</v>
      </c>
      <c r="E381" s="5">
        <v>984</v>
      </c>
      <c r="F381" s="5">
        <v>573</v>
      </c>
      <c r="G381" s="5">
        <v>260</v>
      </c>
      <c r="H381" s="5">
        <v>139</v>
      </c>
      <c r="I381" s="5">
        <v>115</v>
      </c>
      <c r="J381" s="5">
        <v>42</v>
      </c>
      <c r="K381" s="5">
        <v>8</v>
      </c>
      <c r="L381" s="5">
        <v>2</v>
      </c>
    </row>
    <row r="382" spans="1:12" ht="13" hidden="1">
      <c r="A382" s="61" t="s">
        <v>56</v>
      </c>
      <c r="B382" s="5">
        <v>33</v>
      </c>
      <c r="C382" s="6">
        <f t="shared" si="0"/>
        <v>5.2504295806020491E-5</v>
      </c>
      <c r="D382" s="19">
        <f t="shared" si="1"/>
        <v>33</v>
      </c>
      <c r="E382" s="5">
        <v>18</v>
      </c>
      <c r="F382" s="5">
        <v>5</v>
      </c>
      <c r="G382" s="5">
        <v>6</v>
      </c>
      <c r="H382" s="5">
        <v>2</v>
      </c>
      <c r="I382" s="5">
        <v>1</v>
      </c>
      <c r="J382" s="5">
        <v>1</v>
      </c>
      <c r="K382" s="5">
        <v>0</v>
      </c>
      <c r="L382" s="5">
        <v>0</v>
      </c>
    </row>
    <row r="383" spans="1:12" ht="13" hidden="1">
      <c r="A383" s="61" t="s">
        <v>57</v>
      </c>
      <c r="B383" s="5">
        <v>208</v>
      </c>
      <c r="C383" s="6">
        <f t="shared" si="0"/>
        <v>3.293451282377649E-4</v>
      </c>
      <c r="D383" s="19">
        <f t="shared" si="1"/>
        <v>207</v>
      </c>
      <c r="E383" s="5">
        <v>68</v>
      </c>
      <c r="F383" s="5">
        <v>59</v>
      </c>
      <c r="G383" s="5">
        <v>28</v>
      </c>
      <c r="H383" s="5">
        <v>20</v>
      </c>
      <c r="I383" s="5">
        <v>19</v>
      </c>
      <c r="J383" s="5">
        <v>8</v>
      </c>
      <c r="K383" s="5">
        <v>4</v>
      </c>
      <c r="L383" s="5">
        <v>1</v>
      </c>
    </row>
    <row r="384" spans="1:12" ht="13">
      <c r="A384" s="61" t="s">
        <v>58</v>
      </c>
      <c r="B384" s="5">
        <v>214</v>
      </c>
      <c r="C384" s="6">
        <f t="shared" si="0"/>
        <v>3.3889136383885956E-4</v>
      </c>
      <c r="D384" s="19">
        <f t="shared" si="1"/>
        <v>213</v>
      </c>
      <c r="E384" s="5">
        <v>95</v>
      </c>
      <c r="F384" s="5">
        <v>60</v>
      </c>
      <c r="G384" s="5">
        <v>22</v>
      </c>
      <c r="H384" s="5">
        <v>12</v>
      </c>
      <c r="I384" s="5">
        <v>11</v>
      </c>
      <c r="J384" s="5">
        <v>7</v>
      </c>
      <c r="K384" s="5">
        <v>1</v>
      </c>
      <c r="L384" s="5">
        <v>5</v>
      </c>
    </row>
    <row r="385" spans="1:12" ht="39" hidden="1">
      <c r="A385" s="20" t="s">
        <v>59</v>
      </c>
      <c r="B385" s="5">
        <v>170</v>
      </c>
      <c r="C385" s="6">
        <f t="shared" si="0"/>
        <v>2.688856360974989E-4</v>
      </c>
      <c r="D385" s="19">
        <f t="shared" si="1"/>
        <v>169</v>
      </c>
      <c r="E385" s="5">
        <v>71</v>
      </c>
      <c r="F385" s="5">
        <v>49</v>
      </c>
      <c r="G385" s="5">
        <v>18</v>
      </c>
      <c r="H385" s="5">
        <v>10</v>
      </c>
      <c r="I385" s="5">
        <v>10</v>
      </c>
      <c r="J385" s="5">
        <v>6</v>
      </c>
      <c r="K385" s="5">
        <v>1</v>
      </c>
      <c r="L385" s="5">
        <v>4</v>
      </c>
    </row>
    <row r="386" spans="1:12" ht="13" hidden="1">
      <c r="A386" s="20" t="s">
        <v>60</v>
      </c>
      <c r="B386" s="5">
        <v>44</v>
      </c>
      <c r="C386" s="6">
        <f t="shared" si="0"/>
        <v>7.0005727741360654E-5</v>
      </c>
      <c r="D386" s="19">
        <f t="shared" si="1"/>
        <v>44</v>
      </c>
      <c r="E386" s="5">
        <v>24</v>
      </c>
      <c r="F386" s="5">
        <v>11</v>
      </c>
      <c r="G386" s="5">
        <v>4</v>
      </c>
      <c r="H386" s="5">
        <v>2</v>
      </c>
      <c r="I386" s="5">
        <v>1</v>
      </c>
      <c r="J386" s="5">
        <v>1</v>
      </c>
      <c r="K386" s="5">
        <v>0</v>
      </c>
      <c r="L386" s="5">
        <v>1</v>
      </c>
    </row>
    <row r="387" spans="1:12" ht="26">
      <c r="A387" s="62" t="s">
        <v>61</v>
      </c>
      <c r="B387" s="5">
        <v>1708</v>
      </c>
      <c r="C387" s="6">
        <f t="shared" si="0"/>
        <v>2.7143129892445747E-3</v>
      </c>
      <c r="D387" s="19">
        <f t="shared" si="1"/>
        <v>1706</v>
      </c>
      <c r="E387" s="5">
        <v>626</v>
      </c>
      <c r="F387" s="5">
        <v>576</v>
      </c>
      <c r="G387" s="5">
        <v>224</v>
      </c>
      <c r="H387" s="5">
        <v>121</v>
      </c>
      <c r="I387" s="5">
        <v>86</v>
      </c>
      <c r="J387" s="5">
        <v>60</v>
      </c>
      <c r="K387" s="5">
        <v>12</v>
      </c>
      <c r="L387" s="5">
        <v>1</v>
      </c>
    </row>
    <row r="388" spans="1:12" ht="13" hidden="1">
      <c r="A388" s="62" t="s">
        <v>62</v>
      </c>
      <c r="B388" s="5">
        <v>109</v>
      </c>
      <c r="C388" s="6">
        <f t="shared" si="0"/>
        <v>1.7342328008655253E-4</v>
      </c>
      <c r="D388" s="19">
        <f t="shared" si="1"/>
        <v>109</v>
      </c>
      <c r="E388" s="5">
        <v>22</v>
      </c>
      <c r="F388" s="5">
        <v>36</v>
      </c>
      <c r="G388" s="5">
        <v>22</v>
      </c>
      <c r="H388" s="5">
        <v>11</v>
      </c>
      <c r="I388" s="5">
        <v>11</v>
      </c>
      <c r="J388" s="5">
        <v>4</v>
      </c>
      <c r="K388" s="5">
        <v>2</v>
      </c>
      <c r="L388" s="5">
        <v>1</v>
      </c>
    </row>
    <row r="389" spans="1:12" ht="13" hidden="1">
      <c r="A389" s="62" t="s">
        <v>63</v>
      </c>
      <c r="B389" s="5">
        <v>1599</v>
      </c>
      <c r="C389" s="6">
        <f t="shared" si="0"/>
        <v>2.540889709158022E-3</v>
      </c>
      <c r="D389" s="19">
        <f t="shared" si="1"/>
        <v>1597</v>
      </c>
      <c r="E389" s="5">
        <v>604</v>
      </c>
      <c r="F389" s="5">
        <v>540</v>
      </c>
      <c r="G389" s="5">
        <v>202</v>
      </c>
      <c r="H389" s="5">
        <v>110</v>
      </c>
      <c r="I389" s="5">
        <v>75</v>
      </c>
      <c r="J389" s="5">
        <v>56</v>
      </c>
      <c r="K389" s="5">
        <v>10</v>
      </c>
      <c r="L389" s="5">
        <v>0</v>
      </c>
    </row>
    <row r="390" spans="1:12" ht="13">
      <c r="A390" s="62" t="s">
        <v>64</v>
      </c>
      <c r="B390" s="5">
        <v>441</v>
      </c>
      <c r="C390" s="6">
        <f t="shared" si="0"/>
        <v>6.8732896327881377E-4</v>
      </c>
      <c r="D390" s="19">
        <f t="shared" si="1"/>
        <v>432</v>
      </c>
      <c r="E390" s="5">
        <v>92</v>
      </c>
      <c r="F390" s="5">
        <v>79</v>
      </c>
      <c r="G390" s="5">
        <v>49</v>
      </c>
      <c r="H390" s="5">
        <v>50</v>
      </c>
      <c r="I390" s="5">
        <v>58</v>
      </c>
      <c r="J390" s="5">
        <v>56</v>
      </c>
      <c r="K390" s="5">
        <v>32</v>
      </c>
      <c r="L390" s="5">
        <v>16</v>
      </c>
    </row>
    <row r="391" spans="1:12" ht="14.15" hidden="1" customHeight="1">
      <c r="A391" s="20" t="s">
        <v>65</v>
      </c>
      <c r="B391" s="5">
        <v>60</v>
      </c>
      <c r="C391" s="6">
        <f t="shared" si="0"/>
        <v>8.9098198943549927E-5</v>
      </c>
      <c r="D391" s="19">
        <f t="shared" si="1"/>
        <v>56</v>
      </c>
      <c r="E391" s="5">
        <v>5</v>
      </c>
      <c r="F391" s="5">
        <v>10</v>
      </c>
      <c r="G391" s="5">
        <v>10</v>
      </c>
      <c r="H391" s="5">
        <v>4</v>
      </c>
      <c r="I391" s="5">
        <v>9</v>
      </c>
      <c r="J391" s="5">
        <v>10</v>
      </c>
      <c r="K391" s="5">
        <v>4</v>
      </c>
      <c r="L391" s="5">
        <v>4</v>
      </c>
    </row>
    <row r="392" spans="1:12" ht="13" hidden="1">
      <c r="A392" s="20" t="s">
        <v>66</v>
      </c>
      <c r="B392" s="5">
        <v>381</v>
      </c>
      <c r="C392" s="6">
        <f t="shared" si="0"/>
        <v>5.9823076433526375E-4</v>
      </c>
      <c r="D392" s="19">
        <f t="shared" si="1"/>
        <v>376</v>
      </c>
      <c r="E392" s="5">
        <v>87</v>
      </c>
      <c r="F392" s="5">
        <v>69</v>
      </c>
      <c r="G392" s="5">
        <v>39</v>
      </c>
      <c r="H392" s="5">
        <v>46</v>
      </c>
      <c r="I392" s="5">
        <v>49</v>
      </c>
      <c r="J392" s="5">
        <v>46</v>
      </c>
      <c r="K392" s="5">
        <v>28</v>
      </c>
      <c r="L392" s="5">
        <v>12</v>
      </c>
    </row>
    <row r="393" spans="1:12" ht="13">
      <c r="A393" s="20" t="s">
        <v>67</v>
      </c>
      <c r="B393" s="5">
        <v>2905</v>
      </c>
      <c r="C393" s="6">
        <f t="shared" si="0"/>
        <v>4.6156049131292559E-3</v>
      </c>
      <c r="D393" s="19">
        <f t="shared" si="1"/>
        <v>2901</v>
      </c>
      <c r="E393" s="5">
        <v>1075</v>
      </c>
      <c r="F393" s="5">
        <v>972</v>
      </c>
      <c r="G393" s="5">
        <v>359</v>
      </c>
      <c r="H393" s="5">
        <v>167</v>
      </c>
      <c r="I393" s="5">
        <v>180</v>
      </c>
      <c r="J393" s="5">
        <v>102</v>
      </c>
      <c r="K393" s="5">
        <v>31</v>
      </c>
      <c r="L393" s="5">
        <v>15</v>
      </c>
    </row>
    <row r="394" spans="1:12" ht="13" hidden="1">
      <c r="A394" s="20" t="s">
        <v>68</v>
      </c>
      <c r="B394" s="5">
        <v>2600</v>
      </c>
      <c r="C394" s="6">
        <f t="shared" si="0"/>
        <v>4.1303379367402786E-3</v>
      </c>
      <c r="D394" s="19">
        <f t="shared" si="1"/>
        <v>2596</v>
      </c>
      <c r="E394" s="5">
        <v>883</v>
      </c>
      <c r="F394" s="5">
        <v>890</v>
      </c>
      <c r="G394" s="5">
        <v>344</v>
      </c>
      <c r="H394" s="5">
        <v>160</v>
      </c>
      <c r="I394" s="5">
        <v>174</v>
      </c>
      <c r="J394" s="5">
        <v>100</v>
      </c>
      <c r="K394" s="5">
        <v>31</v>
      </c>
      <c r="L394" s="5">
        <v>14</v>
      </c>
    </row>
    <row r="395" spans="1:12" ht="13" hidden="1">
      <c r="A395" s="20" t="s">
        <v>69</v>
      </c>
      <c r="B395" s="5">
        <v>305</v>
      </c>
      <c r="C395" s="6">
        <f t="shared" si="0"/>
        <v>4.852669763889773E-4</v>
      </c>
      <c r="D395" s="19">
        <f t="shared" si="1"/>
        <v>305</v>
      </c>
      <c r="E395" s="5">
        <v>192</v>
      </c>
      <c r="F395" s="5">
        <v>82</v>
      </c>
      <c r="G395" s="5">
        <v>15</v>
      </c>
      <c r="H395" s="5">
        <v>7</v>
      </c>
      <c r="I395" s="5">
        <v>6</v>
      </c>
      <c r="J395" s="5">
        <v>2</v>
      </c>
      <c r="K395" s="5">
        <v>0</v>
      </c>
      <c r="L395" s="5">
        <v>1</v>
      </c>
    </row>
    <row r="396" spans="1:12" ht="14.15" customHeight="1">
      <c r="A396" s="20" t="s">
        <v>70</v>
      </c>
      <c r="B396" s="5">
        <v>1</v>
      </c>
      <c r="C396" s="6">
        <f t="shared" si="0"/>
        <v>1.5910392668491059E-6</v>
      </c>
      <c r="D396" s="19">
        <f t="shared" si="1"/>
        <v>1</v>
      </c>
      <c r="E396" s="5">
        <v>0</v>
      </c>
      <c r="F396" s="5">
        <v>0</v>
      </c>
      <c r="G396" s="5">
        <v>0</v>
      </c>
      <c r="H396" s="5">
        <v>0</v>
      </c>
      <c r="I396" s="5">
        <v>0</v>
      </c>
      <c r="J396" s="5">
        <v>0</v>
      </c>
      <c r="K396" s="5">
        <v>1</v>
      </c>
      <c r="L396" s="5">
        <v>0</v>
      </c>
    </row>
    <row r="397" spans="1:12" ht="13" hidden="1">
      <c r="A397" s="20" t="s">
        <v>71</v>
      </c>
      <c r="B397" s="5">
        <v>0</v>
      </c>
      <c r="C397" s="6">
        <f t="shared" si="0"/>
        <v>0</v>
      </c>
      <c r="D397" s="19">
        <f t="shared" si="1"/>
        <v>0</v>
      </c>
      <c r="E397" s="5">
        <v>0</v>
      </c>
      <c r="F397" s="5">
        <v>0</v>
      </c>
      <c r="G397" s="5">
        <v>0</v>
      </c>
      <c r="H397" s="5">
        <v>0</v>
      </c>
      <c r="I397" s="5">
        <v>0</v>
      </c>
      <c r="J397" s="5">
        <v>0</v>
      </c>
      <c r="K397" s="5">
        <v>0</v>
      </c>
      <c r="L397" s="5">
        <v>0</v>
      </c>
    </row>
    <row r="398" spans="1:12" ht="13" hidden="1">
      <c r="A398" s="20" t="s">
        <v>72</v>
      </c>
      <c r="B398" s="5">
        <v>1</v>
      </c>
      <c r="C398" s="6">
        <f t="shared" si="0"/>
        <v>1.5910392668491059E-6</v>
      </c>
      <c r="D398" s="19">
        <f t="shared" si="1"/>
        <v>1</v>
      </c>
      <c r="E398" s="5">
        <v>0</v>
      </c>
      <c r="F398" s="5">
        <v>0</v>
      </c>
      <c r="G398" s="5">
        <v>0</v>
      </c>
      <c r="H398" s="5">
        <v>0</v>
      </c>
      <c r="I398" s="5">
        <v>0</v>
      </c>
      <c r="J398" s="5">
        <v>0</v>
      </c>
      <c r="K398" s="5">
        <v>1</v>
      </c>
      <c r="L398" s="5">
        <v>0</v>
      </c>
    </row>
    <row r="399" spans="1:12" ht="13">
      <c r="A399" s="20" t="s">
        <v>73</v>
      </c>
      <c r="B399" s="5">
        <v>917</v>
      </c>
      <c r="C399" s="6">
        <f t="shared" si="0"/>
        <v>1.3953414370266658E-3</v>
      </c>
      <c r="D399" s="19">
        <f t="shared" si="1"/>
        <v>877</v>
      </c>
      <c r="E399" s="5">
        <v>153</v>
      </c>
      <c r="F399" s="5">
        <v>160</v>
      </c>
      <c r="G399" s="5">
        <v>115</v>
      </c>
      <c r="H399" s="5">
        <v>92</v>
      </c>
      <c r="I399" s="5">
        <v>103</v>
      </c>
      <c r="J399" s="5">
        <v>143</v>
      </c>
      <c r="K399" s="5">
        <v>62</v>
      </c>
      <c r="L399" s="5">
        <v>49</v>
      </c>
    </row>
    <row r="400" spans="1:12" ht="39" hidden="1">
      <c r="A400" s="20" t="s">
        <v>74</v>
      </c>
      <c r="B400" s="5">
        <v>266</v>
      </c>
      <c r="C400" s="6">
        <f t="shared" si="0"/>
        <v>4.0253293451282377E-4</v>
      </c>
      <c r="D400" s="19">
        <f t="shared" si="1"/>
        <v>253</v>
      </c>
      <c r="E400" s="5">
        <v>31</v>
      </c>
      <c r="F400" s="5">
        <v>49</v>
      </c>
      <c r="G400" s="5">
        <v>28</v>
      </c>
      <c r="H400" s="5">
        <v>24</v>
      </c>
      <c r="I400" s="5">
        <v>41</v>
      </c>
      <c r="J400" s="5">
        <v>43</v>
      </c>
      <c r="K400" s="5">
        <v>19</v>
      </c>
      <c r="L400" s="5">
        <v>18</v>
      </c>
    </row>
    <row r="401" spans="1:12" ht="13" hidden="1">
      <c r="A401" s="20" t="s">
        <v>75</v>
      </c>
      <c r="B401" s="5">
        <v>17</v>
      </c>
      <c r="C401" s="6">
        <f t="shared" si="0"/>
        <v>2.70476675364348E-5</v>
      </c>
      <c r="D401" s="19">
        <f t="shared" si="1"/>
        <v>17</v>
      </c>
      <c r="E401" s="5">
        <v>1</v>
      </c>
      <c r="F401" s="5">
        <v>2</v>
      </c>
      <c r="G401" s="5">
        <v>1</v>
      </c>
      <c r="H401" s="5">
        <v>1</v>
      </c>
      <c r="I401" s="5">
        <v>1</v>
      </c>
      <c r="J401" s="5">
        <v>8</v>
      </c>
      <c r="K401" s="5">
        <v>1</v>
      </c>
      <c r="L401" s="5">
        <v>2</v>
      </c>
    </row>
    <row r="402" spans="1:12" ht="26" hidden="1">
      <c r="A402" s="20" t="s">
        <v>76</v>
      </c>
      <c r="B402" s="5">
        <v>88</v>
      </c>
      <c r="C402" s="6">
        <f t="shared" si="0"/>
        <v>1.3046521988162668E-4</v>
      </c>
      <c r="D402" s="19">
        <f t="shared" si="1"/>
        <v>82</v>
      </c>
      <c r="E402" s="5">
        <v>12</v>
      </c>
      <c r="F402" s="5">
        <v>21</v>
      </c>
      <c r="G402" s="5">
        <v>6</v>
      </c>
      <c r="H402" s="5">
        <v>6</v>
      </c>
      <c r="I402" s="5">
        <v>8</v>
      </c>
      <c r="J402" s="5">
        <v>20</v>
      </c>
      <c r="K402" s="5">
        <v>3</v>
      </c>
      <c r="L402" s="5">
        <v>6</v>
      </c>
    </row>
    <row r="403" spans="1:12" ht="26" hidden="1">
      <c r="A403" s="20" t="s">
        <v>77</v>
      </c>
      <c r="B403" s="5">
        <v>321</v>
      </c>
      <c r="C403" s="6">
        <f t="shared" si="0"/>
        <v>4.852669763889773E-4</v>
      </c>
      <c r="D403" s="19">
        <f t="shared" si="1"/>
        <v>305</v>
      </c>
      <c r="E403" s="5">
        <v>79</v>
      </c>
      <c r="F403" s="5">
        <v>51</v>
      </c>
      <c r="G403" s="5">
        <v>37</v>
      </c>
      <c r="H403" s="5">
        <v>37</v>
      </c>
      <c r="I403" s="5">
        <v>32</v>
      </c>
      <c r="J403" s="5">
        <v>40</v>
      </c>
      <c r="K403" s="5">
        <v>21</v>
      </c>
      <c r="L403" s="5">
        <v>8</v>
      </c>
    </row>
    <row r="404" spans="1:12" ht="13" hidden="1">
      <c r="A404" s="20" t="s">
        <v>78</v>
      </c>
      <c r="B404" s="5">
        <v>216</v>
      </c>
      <c r="C404" s="6">
        <f t="shared" si="0"/>
        <v>3.3570928530516134E-4</v>
      </c>
      <c r="D404" s="19">
        <f t="shared" si="1"/>
        <v>211</v>
      </c>
      <c r="E404" s="5">
        <v>30</v>
      </c>
      <c r="F404" s="5">
        <v>37</v>
      </c>
      <c r="G404" s="5">
        <v>41</v>
      </c>
      <c r="H404" s="5">
        <v>22</v>
      </c>
      <c r="I404" s="5">
        <v>18</v>
      </c>
      <c r="J404" s="5">
        <v>31</v>
      </c>
      <c r="K404" s="5">
        <v>17</v>
      </c>
      <c r="L404" s="5">
        <v>15</v>
      </c>
    </row>
    <row r="405" spans="1:12" ht="13" hidden="1">
      <c r="A405" s="20" t="s">
        <v>79</v>
      </c>
      <c r="B405" s="5">
        <v>9</v>
      </c>
      <c r="C405" s="6">
        <f t="shared" si="0"/>
        <v>1.4319353401641953E-5</v>
      </c>
      <c r="D405" s="19">
        <f t="shared" si="1"/>
        <v>9</v>
      </c>
      <c r="E405" s="5">
        <v>0</v>
      </c>
      <c r="F405" s="5">
        <v>0</v>
      </c>
      <c r="G405" s="5">
        <v>2</v>
      </c>
      <c r="H405" s="5">
        <v>2</v>
      </c>
      <c r="I405" s="5">
        <v>3</v>
      </c>
      <c r="J405" s="5">
        <v>1</v>
      </c>
      <c r="K405" s="5">
        <v>1</v>
      </c>
      <c r="L405" s="5">
        <v>0</v>
      </c>
    </row>
    <row r="406" spans="1:12" ht="13">
      <c r="A406" s="23" t="s">
        <v>80</v>
      </c>
      <c r="B406" s="5">
        <v>125</v>
      </c>
      <c r="C406" s="6">
        <f t="shared" si="0"/>
        <v>1.4478457328326864E-4</v>
      </c>
      <c r="D406" s="19">
        <f t="shared" si="1"/>
        <v>91</v>
      </c>
      <c r="E406" s="5">
        <v>14</v>
      </c>
      <c r="F406" s="5">
        <v>15</v>
      </c>
      <c r="G406" s="5">
        <v>8</v>
      </c>
      <c r="H406" s="5">
        <v>4</v>
      </c>
      <c r="I406" s="5">
        <v>11</v>
      </c>
      <c r="J406" s="5">
        <v>15</v>
      </c>
      <c r="K406" s="5">
        <v>13</v>
      </c>
      <c r="L406" s="5">
        <v>11</v>
      </c>
    </row>
    <row r="407" spans="1:12" ht="13" hidden="1">
      <c r="A407" s="23" t="s">
        <v>81</v>
      </c>
      <c r="B407" s="5">
        <v>43</v>
      </c>
      <c r="C407" s="6">
        <f t="shared" si="0"/>
        <v>4.7731178005473176E-5</v>
      </c>
      <c r="D407" s="19">
        <f t="shared" si="1"/>
        <v>30</v>
      </c>
      <c r="E407" s="5">
        <v>3</v>
      </c>
      <c r="F407" s="5">
        <v>7</v>
      </c>
      <c r="G407" s="5">
        <v>3</v>
      </c>
      <c r="H407" s="5">
        <v>1</v>
      </c>
      <c r="I407" s="5">
        <v>3</v>
      </c>
      <c r="J407" s="5">
        <v>5</v>
      </c>
      <c r="K407" s="5">
        <v>5</v>
      </c>
      <c r="L407" s="5">
        <v>3</v>
      </c>
    </row>
    <row r="408" spans="1:12" ht="13" hidden="1">
      <c r="A408" s="23" t="s">
        <v>82</v>
      </c>
      <c r="B408" s="5">
        <v>82</v>
      </c>
      <c r="C408" s="6">
        <f t="shared" si="0"/>
        <v>9.7053395277795461E-5</v>
      </c>
      <c r="D408" s="19">
        <f t="shared" si="1"/>
        <v>61</v>
      </c>
      <c r="E408" s="5">
        <v>11</v>
      </c>
      <c r="F408" s="5">
        <v>8</v>
      </c>
      <c r="G408" s="5">
        <v>5</v>
      </c>
      <c r="H408" s="5">
        <v>3</v>
      </c>
      <c r="I408" s="5">
        <v>8</v>
      </c>
      <c r="J408" s="5">
        <v>10</v>
      </c>
      <c r="K408" s="5">
        <v>8</v>
      </c>
      <c r="L408" s="5">
        <v>8</v>
      </c>
    </row>
    <row r="409" spans="1:12" ht="13">
      <c r="A409" s="23" t="s">
        <v>83</v>
      </c>
      <c r="B409" s="5">
        <v>1087</v>
      </c>
      <c r="C409" s="6">
        <f t="shared" ref="C409:C472" si="2">D409/$D$345</f>
        <v>1.699229936994845E-3</v>
      </c>
      <c r="D409" s="19">
        <f t="shared" si="1"/>
        <v>1068</v>
      </c>
      <c r="E409" s="5">
        <v>220</v>
      </c>
      <c r="F409" s="5">
        <v>217</v>
      </c>
      <c r="G409" s="5">
        <v>140</v>
      </c>
      <c r="H409" s="5">
        <v>121</v>
      </c>
      <c r="I409" s="5">
        <v>128</v>
      </c>
      <c r="J409" s="5">
        <v>153</v>
      </c>
      <c r="K409" s="5">
        <v>57</v>
      </c>
      <c r="L409" s="5">
        <v>32</v>
      </c>
    </row>
    <row r="410" spans="1:12" ht="13" hidden="1">
      <c r="A410" s="23" t="s">
        <v>84</v>
      </c>
      <c r="B410" s="5">
        <v>119</v>
      </c>
      <c r="C410" s="6">
        <f t="shared" si="2"/>
        <v>1.8774263348819448E-4</v>
      </c>
      <c r="D410" s="19">
        <f t="shared" ref="D410:D473" si="3">SUM(E410:L410)</f>
        <v>118</v>
      </c>
      <c r="E410" s="5">
        <v>20</v>
      </c>
      <c r="F410" s="5">
        <v>28</v>
      </c>
      <c r="G410" s="5">
        <v>18</v>
      </c>
      <c r="H410" s="5">
        <v>16</v>
      </c>
      <c r="I410" s="5">
        <v>13</v>
      </c>
      <c r="J410" s="5">
        <v>15</v>
      </c>
      <c r="K410" s="5">
        <v>3</v>
      </c>
      <c r="L410" s="5">
        <v>5</v>
      </c>
    </row>
    <row r="411" spans="1:12" ht="13" hidden="1">
      <c r="A411" s="23" t="s">
        <v>85</v>
      </c>
      <c r="B411" s="5">
        <v>968</v>
      </c>
      <c r="C411" s="6">
        <f t="shared" si="2"/>
        <v>1.5114873035066505E-3</v>
      </c>
      <c r="D411" s="19">
        <f t="shared" si="3"/>
        <v>950</v>
      </c>
      <c r="E411" s="5">
        <v>200</v>
      </c>
      <c r="F411" s="5">
        <v>189</v>
      </c>
      <c r="G411" s="5">
        <v>122</v>
      </c>
      <c r="H411" s="5">
        <v>105</v>
      </c>
      <c r="I411" s="5">
        <v>115</v>
      </c>
      <c r="J411" s="5">
        <v>138</v>
      </c>
      <c r="K411" s="5">
        <v>54</v>
      </c>
      <c r="L411" s="5">
        <v>27</v>
      </c>
    </row>
    <row r="412" spans="1:12" ht="13">
      <c r="A412" s="23" t="s">
        <v>86</v>
      </c>
      <c r="B412" s="5">
        <v>931</v>
      </c>
      <c r="C412" s="6">
        <f t="shared" si="2"/>
        <v>1.4669382040348757E-3</v>
      </c>
      <c r="D412" s="19">
        <f t="shared" si="3"/>
        <v>922</v>
      </c>
      <c r="E412" s="5">
        <v>224</v>
      </c>
      <c r="F412" s="5">
        <v>290</v>
      </c>
      <c r="G412" s="5">
        <v>156</v>
      </c>
      <c r="H412" s="5">
        <v>77</v>
      </c>
      <c r="I412" s="5">
        <v>84</v>
      </c>
      <c r="J412" s="5">
        <v>63</v>
      </c>
      <c r="K412" s="5">
        <v>20</v>
      </c>
      <c r="L412" s="5">
        <v>8</v>
      </c>
    </row>
    <row r="413" spans="1:12" ht="13" hidden="1">
      <c r="A413" s="23" t="s">
        <v>87</v>
      </c>
      <c r="B413" s="5">
        <v>191</v>
      </c>
      <c r="C413" s="6">
        <f t="shared" si="2"/>
        <v>2.9752434290078277E-4</v>
      </c>
      <c r="D413" s="19">
        <f t="shared" si="3"/>
        <v>187</v>
      </c>
      <c r="E413" s="5">
        <v>40</v>
      </c>
      <c r="F413" s="5">
        <v>56</v>
      </c>
      <c r="G413" s="5">
        <v>33</v>
      </c>
      <c r="H413" s="5">
        <v>16</v>
      </c>
      <c r="I413" s="5">
        <v>20</v>
      </c>
      <c r="J413" s="5">
        <v>15</v>
      </c>
      <c r="K413" s="5">
        <v>4</v>
      </c>
      <c r="L413" s="5">
        <v>3</v>
      </c>
    </row>
    <row r="414" spans="1:12" ht="13" hidden="1">
      <c r="A414" s="23" t="s">
        <v>88</v>
      </c>
      <c r="B414" s="5">
        <v>16</v>
      </c>
      <c r="C414" s="6">
        <f t="shared" si="2"/>
        <v>2.5456628269585694E-5</v>
      </c>
      <c r="D414" s="19">
        <f t="shared" si="3"/>
        <v>16</v>
      </c>
      <c r="E414" s="5">
        <v>4</v>
      </c>
      <c r="F414" s="5">
        <v>1</v>
      </c>
      <c r="G414" s="5">
        <v>3</v>
      </c>
      <c r="H414" s="5">
        <v>4</v>
      </c>
      <c r="I414" s="5">
        <v>0</v>
      </c>
      <c r="J414" s="5">
        <v>3</v>
      </c>
      <c r="K414" s="5">
        <v>1</v>
      </c>
      <c r="L414" s="5">
        <v>0</v>
      </c>
    </row>
    <row r="415" spans="1:12" ht="13" hidden="1">
      <c r="A415" s="23" t="s">
        <v>89</v>
      </c>
      <c r="B415" s="5">
        <v>51</v>
      </c>
      <c r="C415" s="6">
        <f t="shared" si="2"/>
        <v>8.1143002609304393E-5</v>
      </c>
      <c r="D415" s="19">
        <f t="shared" si="3"/>
        <v>51</v>
      </c>
      <c r="E415" s="5">
        <v>13</v>
      </c>
      <c r="F415" s="5">
        <v>16</v>
      </c>
      <c r="G415" s="5">
        <v>7</v>
      </c>
      <c r="H415" s="5">
        <v>3</v>
      </c>
      <c r="I415" s="5">
        <v>4</v>
      </c>
      <c r="J415" s="5">
        <v>7</v>
      </c>
      <c r="K415" s="5">
        <v>0</v>
      </c>
      <c r="L415" s="5">
        <v>1</v>
      </c>
    </row>
    <row r="416" spans="1:12" ht="13" hidden="1">
      <c r="A416" s="23" t="s">
        <v>90</v>
      </c>
      <c r="B416" s="5">
        <v>121</v>
      </c>
      <c r="C416" s="6">
        <f t="shared" si="2"/>
        <v>1.909247120218927E-4</v>
      </c>
      <c r="D416" s="19">
        <f t="shared" si="3"/>
        <v>120</v>
      </c>
      <c r="E416" s="5">
        <v>57</v>
      </c>
      <c r="F416" s="5">
        <v>35</v>
      </c>
      <c r="G416" s="5">
        <v>14</v>
      </c>
      <c r="H416" s="5">
        <v>4</v>
      </c>
      <c r="I416" s="5">
        <v>4</v>
      </c>
      <c r="J416" s="5">
        <v>6</v>
      </c>
      <c r="K416" s="5">
        <v>0</v>
      </c>
      <c r="L416" s="5">
        <v>0</v>
      </c>
    </row>
    <row r="417" spans="1:12" ht="13" hidden="1">
      <c r="A417" s="23" t="s">
        <v>91</v>
      </c>
      <c r="B417" s="5">
        <v>16</v>
      </c>
      <c r="C417" s="6">
        <f t="shared" si="2"/>
        <v>2.3865589002736588E-5</v>
      </c>
      <c r="D417" s="19">
        <f t="shared" si="3"/>
        <v>15</v>
      </c>
      <c r="E417" s="5">
        <v>0</v>
      </c>
      <c r="F417" s="5">
        <v>1</v>
      </c>
      <c r="G417" s="5">
        <v>5</v>
      </c>
      <c r="H417" s="5">
        <v>3</v>
      </c>
      <c r="I417" s="5">
        <v>1</v>
      </c>
      <c r="J417" s="5">
        <v>2</v>
      </c>
      <c r="K417" s="5">
        <v>2</v>
      </c>
      <c r="L417" s="5">
        <v>1</v>
      </c>
    </row>
    <row r="418" spans="1:12" ht="13" hidden="1">
      <c r="A418" s="23" t="s">
        <v>92</v>
      </c>
      <c r="B418" s="5">
        <v>172</v>
      </c>
      <c r="C418" s="6">
        <f t="shared" si="2"/>
        <v>2.7047667536434801E-4</v>
      </c>
      <c r="D418" s="19">
        <f t="shared" si="3"/>
        <v>170</v>
      </c>
      <c r="E418" s="5">
        <v>32</v>
      </c>
      <c r="F418" s="5">
        <v>38</v>
      </c>
      <c r="G418" s="5">
        <v>27</v>
      </c>
      <c r="H418" s="5">
        <v>15</v>
      </c>
      <c r="I418" s="5">
        <v>29</v>
      </c>
      <c r="J418" s="5">
        <v>19</v>
      </c>
      <c r="K418" s="5">
        <v>8</v>
      </c>
      <c r="L418" s="5">
        <v>2</v>
      </c>
    </row>
    <row r="419" spans="1:12" ht="13" hidden="1">
      <c r="A419" s="23" t="s">
        <v>93</v>
      </c>
      <c r="B419" s="5">
        <v>324</v>
      </c>
      <c r="C419" s="6">
        <f t="shared" si="2"/>
        <v>5.1549672245911028E-4</v>
      </c>
      <c r="D419" s="19">
        <f t="shared" si="3"/>
        <v>324</v>
      </c>
      <c r="E419" s="5">
        <v>75</v>
      </c>
      <c r="F419" s="5">
        <v>132</v>
      </c>
      <c r="G419" s="5">
        <v>62</v>
      </c>
      <c r="H419" s="5">
        <v>26</v>
      </c>
      <c r="I419" s="5">
        <v>21</v>
      </c>
      <c r="J419" s="5">
        <v>8</v>
      </c>
      <c r="K419" s="5">
        <v>0</v>
      </c>
      <c r="L419" s="5">
        <v>0</v>
      </c>
    </row>
    <row r="420" spans="1:12" ht="26" hidden="1">
      <c r="A420" s="23" t="s">
        <v>94</v>
      </c>
      <c r="B420" s="5">
        <v>40</v>
      </c>
      <c r="C420" s="6">
        <f t="shared" si="2"/>
        <v>6.2050531407115134E-5</v>
      </c>
      <c r="D420" s="19">
        <f t="shared" si="3"/>
        <v>39</v>
      </c>
      <c r="E420" s="5">
        <v>3</v>
      </c>
      <c r="F420" s="5">
        <v>11</v>
      </c>
      <c r="G420" s="5">
        <v>5</v>
      </c>
      <c r="H420" s="5">
        <v>6</v>
      </c>
      <c r="I420" s="5">
        <v>5</v>
      </c>
      <c r="J420" s="5">
        <v>3</v>
      </c>
      <c r="K420" s="5">
        <v>5</v>
      </c>
      <c r="L420" s="5">
        <v>1</v>
      </c>
    </row>
    <row r="421" spans="1:12" ht="26">
      <c r="A421" s="23" t="s">
        <v>95</v>
      </c>
      <c r="B421" s="5">
        <v>306</v>
      </c>
      <c r="C421" s="6">
        <f t="shared" si="2"/>
        <v>4.8049385858842998E-4</v>
      </c>
      <c r="D421" s="19">
        <f t="shared" si="3"/>
        <v>302</v>
      </c>
      <c r="E421" s="5">
        <v>40</v>
      </c>
      <c r="F421" s="5">
        <v>63</v>
      </c>
      <c r="G421" s="5">
        <v>54</v>
      </c>
      <c r="H421" s="5">
        <v>42</v>
      </c>
      <c r="I421" s="5">
        <v>42</v>
      </c>
      <c r="J421" s="5">
        <v>33</v>
      </c>
      <c r="K421" s="5">
        <v>23</v>
      </c>
      <c r="L421" s="5">
        <v>5</v>
      </c>
    </row>
    <row r="422" spans="1:12" ht="26" hidden="1">
      <c r="A422" s="23" t="s">
        <v>96</v>
      </c>
      <c r="B422" s="5">
        <v>70</v>
      </c>
      <c r="C422" s="6">
        <f t="shared" si="2"/>
        <v>1.097817094125883E-4</v>
      </c>
      <c r="D422" s="19">
        <f t="shared" si="3"/>
        <v>69</v>
      </c>
      <c r="E422" s="5">
        <v>6</v>
      </c>
      <c r="F422" s="5">
        <v>23</v>
      </c>
      <c r="G422" s="5">
        <v>17</v>
      </c>
      <c r="H422" s="5">
        <v>7</v>
      </c>
      <c r="I422" s="5">
        <v>4</v>
      </c>
      <c r="J422" s="5">
        <v>6</v>
      </c>
      <c r="K422" s="5">
        <v>6</v>
      </c>
      <c r="L422" s="5">
        <v>0</v>
      </c>
    </row>
    <row r="423" spans="1:12" ht="26" hidden="1">
      <c r="A423" s="23" t="s">
        <v>97</v>
      </c>
      <c r="B423" s="5">
        <v>27</v>
      </c>
      <c r="C423" s="6">
        <f t="shared" si="2"/>
        <v>4.2958060204925861E-5</v>
      </c>
      <c r="D423" s="19">
        <f t="shared" si="3"/>
        <v>27</v>
      </c>
      <c r="E423" s="5">
        <v>1</v>
      </c>
      <c r="F423" s="5">
        <v>5</v>
      </c>
      <c r="G423" s="5">
        <v>1</v>
      </c>
      <c r="H423" s="5">
        <v>7</v>
      </c>
      <c r="I423" s="5">
        <v>5</v>
      </c>
      <c r="J423" s="5">
        <v>4</v>
      </c>
      <c r="K423" s="5">
        <v>3</v>
      </c>
      <c r="L423" s="5">
        <v>1</v>
      </c>
    </row>
    <row r="424" spans="1:12" ht="26" hidden="1">
      <c r="A424" s="23" t="s">
        <v>98</v>
      </c>
      <c r="B424" s="5">
        <v>63</v>
      </c>
      <c r="C424" s="6">
        <f t="shared" si="2"/>
        <v>1.0023547381149367E-4</v>
      </c>
      <c r="D424" s="19">
        <f t="shared" si="3"/>
        <v>63</v>
      </c>
      <c r="E424" s="5">
        <v>3</v>
      </c>
      <c r="F424" s="5">
        <v>13</v>
      </c>
      <c r="G424" s="5">
        <v>18</v>
      </c>
      <c r="H424" s="5">
        <v>12</v>
      </c>
      <c r="I424" s="5">
        <v>6</v>
      </c>
      <c r="J424" s="5">
        <v>6</v>
      </c>
      <c r="K424" s="5">
        <v>4</v>
      </c>
      <c r="L424" s="5">
        <v>1</v>
      </c>
    </row>
    <row r="425" spans="1:12" ht="13" hidden="1">
      <c r="A425" s="23" t="s">
        <v>99</v>
      </c>
      <c r="B425" s="5">
        <v>54</v>
      </c>
      <c r="C425" s="6">
        <f t="shared" si="2"/>
        <v>8.2734041876153503E-5</v>
      </c>
      <c r="D425" s="19">
        <f t="shared" si="3"/>
        <v>52</v>
      </c>
      <c r="E425" s="5">
        <v>13</v>
      </c>
      <c r="F425" s="5">
        <v>10</v>
      </c>
      <c r="G425" s="5">
        <v>4</v>
      </c>
      <c r="H425" s="5">
        <v>7</v>
      </c>
      <c r="I425" s="5">
        <v>10</v>
      </c>
      <c r="J425" s="5">
        <v>5</v>
      </c>
      <c r="K425" s="5">
        <v>2</v>
      </c>
      <c r="L425" s="5">
        <v>1</v>
      </c>
    </row>
    <row r="426" spans="1:12" ht="13" hidden="1">
      <c r="A426" s="23" t="s">
        <v>100</v>
      </c>
      <c r="B426" s="5">
        <v>92</v>
      </c>
      <c r="C426" s="6">
        <f t="shared" si="2"/>
        <v>1.4478457328326864E-4</v>
      </c>
      <c r="D426" s="19">
        <f t="shared" si="3"/>
        <v>91</v>
      </c>
      <c r="E426" s="5">
        <v>17</v>
      </c>
      <c r="F426" s="5">
        <v>12</v>
      </c>
      <c r="G426" s="5">
        <v>14</v>
      </c>
      <c r="H426" s="5">
        <v>9</v>
      </c>
      <c r="I426" s="5">
        <v>17</v>
      </c>
      <c r="J426" s="5">
        <v>12</v>
      </c>
      <c r="K426" s="5">
        <v>8</v>
      </c>
      <c r="L426" s="5">
        <v>2</v>
      </c>
    </row>
    <row r="427" spans="1:12" ht="13">
      <c r="A427" s="23" t="s">
        <v>101</v>
      </c>
      <c r="B427" s="5">
        <v>6297</v>
      </c>
      <c r="C427" s="6">
        <f t="shared" si="2"/>
        <v>9.990135556545536E-3</v>
      </c>
      <c r="D427" s="19">
        <f t="shared" si="3"/>
        <v>6279</v>
      </c>
      <c r="E427" s="5">
        <v>1721</v>
      </c>
      <c r="F427" s="5">
        <v>1838</v>
      </c>
      <c r="G427" s="5">
        <v>1020</v>
      </c>
      <c r="H427" s="5">
        <v>656</v>
      </c>
      <c r="I427" s="5">
        <v>554</v>
      </c>
      <c r="J427" s="5">
        <v>397</v>
      </c>
      <c r="K427" s="5">
        <v>65</v>
      </c>
      <c r="L427" s="5">
        <v>28</v>
      </c>
    </row>
    <row r="428" spans="1:12" ht="13" hidden="1">
      <c r="A428" s="23" t="s">
        <v>102</v>
      </c>
      <c r="B428" s="5">
        <v>2622</v>
      </c>
      <c r="C428" s="6">
        <f t="shared" si="2"/>
        <v>4.1637497613441097E-3</v>
      </c>
      <c r="D428" s="19">
        <f t="shared" si="3"/>
        <v>2617</v>
      </c>
      <c r="E428" s="5">
        <v>791</v>
      </c>
      <c r="F428" s="5">
        <v>868</v>
      </c>
      <c r="G428" s="5">
        <v>435</v>
      </c>
      <c r="H428" s="5">
        <v>228</v>
      </c>
      <c r="I428" s="5">
        <v>171</v>
      </c>
      <c r="J428" s="5">
        <v>99</v>
      </c>
      <c r="K428" s="5">
        <v>18</v>
      </c>
      <c r="L428" s="5">
        <v>7</v>
      </c>
    </row>
    <row r="429" spans="1:12" ht="26" hidden="1">
      <c r="A429" s="23" t="s">
        <v>103</v>
      </c>
      <c r="B429" s="5">
        <v>177</v>
      </c>
      <c r="C429" s="6">
        <f t="shared" si="2"/>
        <v>2.8161395023229173E-4</v>
      </c>
      <c r="D429" s="19">
        <f t="shared" si="3"/>
        <v>177</v>
      </c>
      <c r="E429" s="5">
        <v>49</v>
      </c>
      <c r="F429" s="5">
        <v>33</v>
      </c>
      <c r="G429" s="5">
        <v>22</v>
      </c>
      <c r="H429" s="5">
        <v>22</v>
      </c>
      <c r="I429" s="5">
        <v>17</v>
      </c>
      <c r="J429" s="5">
        <v>27</v>
      </c>
      <c r="K429" s="5">
        <v>5</v>
      </c>
      <c r="L429" s="5">
        <v>2</v>
      </c>
    </row>
    <row r="430" spans="1:12" ht="26" hidden="1">
      <c r="A430" s="23" t="s">
        <v>104</v>
      </c>
      <c r="B430" s="5">
        <v>10</v>
      </c>
      <c r="C430" s="6">
        <f t="shared" si="2"/>
        <v>1.5910392668491057E-5</v>
      </c>
      <c r="D430" s="19">
        <f t="shared" si="3"/>
        <v>10</v>
      </c>
      <c r="E430" s="5">
        <v>2</v>
      </c>
      <c r="F430" s="5">
        <v>2</v>
      </c>
      <c r="G430" s="5">
        <v>0</v>
      </c>
      <c r="H430" s="5">
        <v>1</v>
      </c>
      <c r="I430" s="5">
        <v>0</v>
      </c>
      <c r="J430" s="5">
        <v>3</v>
      </c>
      <c r="K430" s="5">
        <v>2</v>
      </c>
      <c r="L430" s="5">
        <v>0</v>
      </c>
    </row>
    <row r="431" spans="1:12" ht="13" hidden="1">
      <c r="A431" s="23" t="s">
        <v>105</v>
      </c>
      <c r="B431" s="5">
        <v>4</v>
      </c>
      <c r="C431" s="6">
        <f t="shared" si="2"/>
        <v>6.3641570673964235E-6</v>
      </c>
      <c r="D431" s="19">
        <f t="shared" si="3"/>
        <v>4</v>
      </c>
      <c r="E431" s="5">
        <v>0</v>
      </c>
      <c r="F431" s="5">
        <v>3</v>
      </c>
      <c r="G431" s="5">
        <v>0</v>
      </c>
      <c r="H431" s="5">
        <v>0</v>
      </c>
      <c r="I431" s="5">
        <v>0</v>
      </c>
      <c r="J431" s="5">
        <v>0</v>
      </c>
      <c r="K431" s="5">
        <v>0</v>
      </c>
      <c r="L431" s="5">
        <v>1</v>
      </c>
    </row>
    <row r="432" spans="1:12" ht="13" hidden="1">
      <c r="A432" s="23" t="s">
        <v>106</v>
      </c>
      <c r="B432" s="5">
        <v>340</v>
      </c>
      <c r="C432" s="6">
        <f t="shared" si="2"/>
        <v>5.2504295806020493E-4</v>
      </c>
      <c r="D432" s="19">
        <f t="shared" si="3"/>
        <v>330</v>
      </c>
      <c r="E432" s="5">
        <v>52</v>
      </c>
      <c r="F432" s="5">
        <v>82</v>
      </c>
      <c r="G432" s="5">
        <v>59</v>
      </c>
      <c r="H432" s="5">
        <v>50</v>
      </c>
      <c r="I432" s="5">
        <v>38</v>
      </c>
      <c r="J432" s="5">
        <v>37</v>
      </c>
      <c r="K432" s="5">
        <v>6</v>
      </c>
      <c r="L432" s="5">
        <v>6</v>
      </c>
    </row>
    <row r="433" spans="1:12" ht="26" hidden="1">
      <c r="A433" s="23" t="s">
        <v>107</v>
      </c>
      <c r="B433" s="5">
        <v>1641</v>
      </c>
      <c r="C433" s="6">
        <f t="shared" si="2"/>
        <v>2.6093043976325335E-3</v>
      </c>
      <c r="D433" s="19">
        <f t="shared" si="3"/>
        <v>1640</v>
      </c>
      <c r="E433" s="5">
        <v>442</v>
      </c>
      <c r="F433" s="5">
        <v>414</v>
      </c>
      <c r="G433" s="5">
        <v>259</v>
      </c>
      <c r="H433" s="5">
        <v>198</v>
      </c>
      <c r="I433" s="5">
        <v>183</v>
      </c>
      <c r="J433" s="5">
        <v>124</v>
      </c>
      <c r="K433" s="5">
        <v>15</v>
      </c>
      <c r="L433" s="5">
        <v>5</v>
      </c>
    </row>
    <row r="434" spans="1:12" ht="26" hidden="1">
      <c r="A434" s="23" t="s">
        <v>108</v>
      </c>
      <c r="B434" s="5">
        <v>681</v>
      </c>
      <c r="C434" s="6">
        <f t="shared" si="2"/>
        <v>1.0834977407242412E-3</v>
      </c>
      <c r="D434" s="19">
        <f t="shared" si="3"/>
        <v>681</v>
      </c>
      <c r="E434" s="5">
        <v>178</v>
      </c>
      <c r="F434" s="5">
        <v>215</v>
      </c>
      <c r="G434" s="5">
        <v>108</v>
      </c>
      <c r="H434" s="5">
        <v>74</v>
      </c>
      <c r="I434" s="5">
        <v>65</v>
      </c>
      <c r="J434" s="5">
        <v>38</v>
      </c>
      <c r="K434" s="5">
        <v>3</v>
      </c>
      <c r="L434" s="5">
        <v>0</v>
      </c>
    </row>
    <row r="435" spans="1:12" ht="13" hidden="1">
      <c r="A435" s="23" t="s">
        <v>109</v>
      </c>
      <c r="B435" s="5">
        <v>822</v>
      </c>
      <c r="C435" s="6">
        <f t="shared" si="2"/>
        <v>1.3046521988162667E-3</v>
      </c>
      <c r="D435" s="19">
        <f t="shared" si="3"/>
        <v>820</v>
      </c>
      <c r="E435" s="5">
        <v>207</v>
      </c>
      <c r="F435" s="5">
        <v>221</v>
      </c>
      <c r="G435" s="5">
        <v>137</v>
      </c>
      <c r="H435" s="5">
        <v>83</v>
      </c>
      <c r="I435" s="5">
        <v>80</v>
      </c>
      <c r="J435" s="5">
        <v>69</v>
      </c>
      <c r="K435" s="5">
        <v>16</v>
      </c>
      <c r="L435" s="5">
        <v>7</v>
      </c>
    </row>
    <row r="436" spans="1:12" ht="13">
      <c r="A436" s="23" t="s">
        <v>110</v>
      </c>
      <c r="B436" s="5">
        <v>732</v>
      </c>
      <c r="C436" s="6">
        <f t="shared" si="2"/>
        <v>1.1535034684656018E-3</v>
      </c>
      <c r="D436" s="19">
        <f t="shared" si="3"/>
        <v>725</v>
      </c>
      <c r="E436" s="5">
        <v>258</v>
      </c>
      <c r="F436" s="5">
        <v>175</v>
      </c>
      <c r="G436" s="5">
        <v>72</v>
      </c>
      <c r="H436" s="5">
        <v>70</v>
      </c>
      <c r="I436" s="5">
        <v>68</v>
      </c>
      <c r="J436" s="5">
        <v>48</v>
      </c>
      <c r="K436" s="5">
        <v>24</v>
      </c>
      <c r="L436" s="5">
        <v>10</v>
      </c>
    </row>
    <row r="437" spans="1:12" ht="26" hidden="1">
      <c r="A437" s="23" t="s">
        <v>111</v>
      </c>
      <c r="B437" s="5">
        <v>223</v>
      </c>
      <c r="C437" s="6">
        <f t="shared" si="2"/>
        <v>3.5002863870680327E-4</v>
      </c>
      <c r="D437" s="19">
        <f t="shared" si="3"/>
        <v>220</v>
      </c>
      <c r="E437" s="5">
        <v>58</v>
      </c>
      <c r="F437" s="5">
        <v>54</v>
      </c>
      <c r="G437" s="5">
        <v>28</v>
      </c>
      <c r="H437" s="5">
        <v>26</v>
      </c>
      <c r="I437" s="5">
        <v>30</v>
      </c>
      <c r="J437" s="5">
        <v>13</v>
      </c>
      <c r="K437" s="5">
        <v>8</v>
      </c>
      <c r="L437" s="5">
        <v>3</v>
      </c>
    </row>
    <row r="438" spans="1:12" ht="13" hidden="1">
      <c r="A438" s="23" t="s">
        <v>112</v>
      </c>
      <c r="B438" s="5">
        <v>135</v>
      </c>
      <c r="C438" s="6">
        <f t="shared" si="2"/>
        <v>2.1479030102462929E-4</v>
      </c>
      <c r="D438" s="19">
        <f t="shared" si="3"/>
        <v>135</v>
      </c>
      <c r="E438" s="5">
        <v>85</v>
      </c>
      <c r="F438" s="5">
        <v>32</v>
      </c>
      <c r="G438" s="5">
        <v>6</v>
      </c>
      <c r="H438" s="5">
        <v>6</v>
      </c>
      <c r="I438" s="5">
        <v>3</v>
      </c>
      <c r="J438" s="5">
        <v>1</v>
      </c>
      <c r="K438" s="5">
        <v>2</v>
      </c>
      <c r="L438" s="5">
        <v>0</v>
      </c>
    </row>
    <row r="439" spans="1:12" ht="13" hidden="1">
      <c r="A439" s="23" t="s">
        <v>113</v>
      </c>
      <c r="B439" s="5">
        <v>29</v>
      </c>
      <c r="C439" s="6">
        <f t="shared" si="2"/>
        <v>4.6140138738624066E-5</v>
      </c>
      <c r="D439" s="19">
        <f t="shared" si="3"/>
        <v>29</v>
      </c>
      <c r="E439" s="5">
        <v>7</v>
      </c>
      <c r="F439" s="5">
        <v>5</v>
      </c>
      <c r="G439" s="5">
        <v>5</v>
      </c>
      <c r="H439" s="5">
        <v>6</v>
      </c>
      <c r="I439" s="5">
        <v>2</v>
      </c>
      <c r="J439" s="5">
        <v>2</v>
      </c>
      <c r="K439" s="5">
        <v>1</v>
      </c>
      <c r="L439" s="5">
        <v>1</v>
      </c>
    </row>
    <row r="440" spans="1:12" ht="13" hidden="1">
      <c r="A440" s="23" t="s">
        <v>114</v>
      </c>
      <c r="B440" s="5">
        <v>27</v>
      </c>
      <c r="C440" s="6">
        <f t="shared" si="2"/>
        <v>4.2958060204925861E-5</v>
      </c>
      <c r="D440" s="19">
        <f t="shared" si="3"/>
        <v>27</v>
      </c>
      <c r="E440" s="5">
        <v>10</v>
      </c>
      <c r="F440" s="5">
        <v>7</v>
      </c>
      <c r="G440" s="5">
        <v>2</v>
      </c>
      <c r="H440" s="5">
        <v>1</v>
      </c>
      <c r="I440" s="5">
        <v>2</v>
      </c>
      <c r="J440" s="5">
        <v>4</v>
      </c>
      <c r="K440" s="5">
        <v>1</v>
      </c>
      <c r="L440" s="5">
        <v>0</v>
      </c>
    </row>
    <row r="441" spans="1:12" ht="26" hidden="1">
      <c r="A441" s="23" t="s">
        <v>115</v>
      </c>
      <c r="B441" s="5">
        <v>237</v>
      </c>
      <c r="C441" s="6">
        <f t="shared" si="2"/>
        <v>3.7389422770953986E-4</v>
      </c>
      <c r="D441" s="19">
        <f t="shared" si="3"/>
        <v>235</v>
      </c>
      <c r="E441" s="5">
        <v>77</v>
      </c>
      <c r="F441" s="5">
        <v>53</v>
      </c>
      <c r="G441" s="5">
        <v>22</v>
      </c>
      <c r="H441" s="5">
        <v>22</v>
      </c>
      <c r="I441" s="5">
        <v>26</v>
      </c>
      <c r="J441" s="5">
        <v>22</v>
      </c>
      <c r="K441" s="5">
        <v>8</v>
      </c>
      <c r="L441" s="5">
        <v>5</v>
      </c>
    </row>
    <row r="442" spans="1:12" ht="26" hidden="1">
      <c r="A442" s="23" t="s">
        <v>116</v>
      </c>
      <c r="B442" s="5">
        <v>55</v>
      </c>
      <c r="C442" s="6">
        <f t="shared" si="2"/>
        <v>8.5916120409851722E-5</v>
      </c>
      <c r="D442" s="19">
        <f t="shared" si="3"/>
        <v>54</v>
      </c>
      <c r="E442" s="5">
        <v>17</v>
      </c>
      <c r="F442" s="5">
        <v>12</v>
      </c>
      <c r="G442" s="5">
        <v>6</v>
      </c>
      <c r="H442" s="5">
        <v>7</v>
      </c>
      <c r="I442" s="5">
        <v>4</v>
      </c>
      <c r="J442" s="5">
        <v>4</v>
      </c>
      <c r="K442" s="5">
        <v>3</v>
      </c>
      <c r="L442" s="5">
        <v>1</v>
      </c>
    </row>
    <row r="443" spans="1:12" ht="13" hidden="1">
      <c r="A443" s="23" t="s">
        <v>117</v>
      </c>
      <c r="B443" s="5">
        <v>26</v>
      </c>
      <c r="C443" s="6">
        <f t="shared" si="2"/>
        <v>3.9775981671227649E-5</v>
      </c>
      <c r="D443" s="19">
        <f t="shared" si="3"/>
        <v>25</v>
      </c>
      <c r="E443" s="5">
        <v>4</v>
      </c>
      <c r="F443" s="5">
        <v>12</v>
      </c>
      <c r="G443" s="5">
        <v>3</v>
      </c>
      <c r="H443" s="5">
        <v>2</v>
      </c>
      <c r="I443" s="5">
        <v>1</v>
      </c>
      <c r="J443" s="5">
        <v>2</v>
      </c>
      <c r="K443" s="5">
        <v>1</v>
      </c>
      <c r="L443" s="5">
        <v>0</v>
      </c>
    </row>
    <row r="444" spans="1:12" ht="13" hidden="1">
      <c r="A444" s="23" t="s">
        <v>118</v>
      </c>
      <c r="B444" s="5">
        <v>0</v>
      </c>
      <c r="C444" s="6">
        <f t="shared" si="2"/>
        <v>0</v>
      </c>
      <c r="D444" s="19">
        <f t="shared" si="3"/>
        <v>0</v>
      </c>
      <c r="E444" s="5">
        <v>0</v>
      </c>
      <c r="F444" s="5">
        <v>0</v>
      </c>
      <c r="G444" s="5">
        <v>0</v>
      </c>
      <c r="H444" s="5">
        <v>0</v>
      </c>
      <c r="I444" s="5">
        <v>0</v>
      </c>
      <c r="J444" s="5">
        <v>0</v>
      </c>
      <c r="K444" s="5">
        <v>0</v>
      </c>
      <c r="L444" s="5">
        <v>0</v>
      </c>
    </row>
    <row r="445" spans="1:12" ht="13">
      <c r="A445" s="23" t="s">
        <v>119</v>
      </c>
      <c r="B445" s="5">
        <v>538</v>
      </c>
      <c r="C445" s="6">
        <f t="shared" si="2"/>
        <v>8.4006873289632785E-4</v>
      </c>
      <c r="D445" s="19">
        <f t="shared" si="3"/>
        <v>528</v>
      </c>
      <c r="E445" s="5">
        <v>146</v>
      </c>
      <c r="F445" s="5">
        <v>125</v>
      </c>
      <c r="G445" s="5">
        <v>52</v>
      </c>
      <c r="H445" s="5">
        <v>51</v>
      </c>
      <c r="I445" s="5">
        <v>63</v>
      </c>
      <c r="J445" s="5">
        <v>48</v>
      </c>
      <c r="K445" s="5">
        <v>26</v>
      </c>
      <c r="L445" s="5">
        <v>17</v>
      </c>
    </row>
    <row r="446" spans="1:12" ht="26" hidden="1">
      <c r="A446" s="23" t="s">
        <v>120</v>
      </c>
      <c r="B446" s="5">
        <v>201</v>
      </c>
      <c r="C446" s="6">
        <f t="shared" si="2"/>
        <v>3.1661681410297208E-4</v>
      </c>
      <c r="D446" s="19">
        <f t="shared" si="3"/>
        <v>199</v>
      </c>
      <c r="E446" s="5">
        <v>69</v>
      </c>
      <c r="F446" s="5">
        <v>51</v>
      </c>
      <c r="G446" s="5">
        <v>11</v>
      </c>
      <c r="H446" s="5">
        <v>16</v>
      </c>
      <c r="I446" s="5">
        <v>19</v>
      </c>
      <c r="J446" s="5">
        <v>18</v>
      </c>
      <c r="K446" s="5">
        <v>10</v>
      </c>
      <c r="L446" s="5">
        <v>5</v>
      </c>
    </row>
    <row r="447" spans="1:12" ht="13" hidden="1">
      <c r="A447" s="23" t="s">
        <v>121</v>
      </c>
      <c r="B447" s="5">
        <v>5</v>
      </c>
      <c r="C447" s="6">
        <f t="shared" si="2"/>
        <v>7.9551963342455287E-6</v>
      </c>
      <c r="D447" s="19">
        <f t="shared" si="3"/>
        <v>5</v>
      </c>
      <c r="E447" s="5">
        <v>4</v>
      </c>
      <c r="F447" s="5">
        <v>0</v>
      </c>
      <c r="G447" s="5">
        <v>0</v>
      </c>
      <c r="H447" s="5">
        <v>1</v>
      </c>
      <c r="I447" s="5">
        <v>0</v>
      </c>
      <c r="J447" s="5">
        <v>0</v>
      </c>
      <c r="K447" s="5">
        <v>0</v>
      </c>
      <c r="L447" s="5">
        <v>0</v>
      </c>
    </row>
    <row r="448" spans="1:12" ht="13" hidden="1">
      <c r="A448" s="23" t="s">
        <v>122</v>
      </c>
      <c r="B448" s="5">
        <v>59</v>
      </c>
      <c r="C448" s="6">
        <f t="shared" si="2"/>
        <v>8.9098198943549927E-5</v>
      </c>
      <c r="D448" s="19">
        <f t="shared" si="3"/>
        <v>56</v>
      </c>
      <c r="E448" s="5">
        <v>16</v>
      </c>
      <c r="F448" s="5">
        <v>10</v>
      </c>
      <c r="G448" s="5">
        <v>5</v>
      </c>
      <c r="H448" s="5">
        <v>5</v>
      </c>
      <c r="I448" s="5">
        <v>9</v>
      </c>
      <c r="J448" s="5">
        <v>7</v>
      </c>
      <c r="K448" s="5">
        <v>1</v>
      </c>
      <c r="L448" s="5">
        <v>3</v>
      </c>
    </row>
    <row r="449" spans="1:12" ht="13" hidden="1">
      <c r="A449" s="23" t="s">
        <v>123</v>
      </c>
      <c r="B449" s="5">
        <v>126</v>
      </c>
      <c r="C449" s="6">
        <f t="shared" si="2"/>
        <v>1.9569782982244003E-4</v>
      </c>
      <c r="D449" s="19">
        <f t="shared" si="3"/>
        <v>123</v>
      </c>
      <c r="E449" s="5">
        <v>37</v>
      </c>
      <c r="F449" s="5">
        <v>37</v>
      </c>
      <c r="G449" s="5">
        <v>11</v>
      </c>
      <c r="H449" s="5">
        <v>11</v>
      </c>
      <c r="I449" s="5">
        <v>11</v>
      </c>
      <c r="J449" s="5">
        <v>9</v>
      </c>
      <c r="K449" s="5">
        <v>5</v>
      </c>
      <c r="L449" s="5">
        <v>2</v>
      </c>
    </row>
    <row r="450" spans="1:12" ht="13" hidden="1">
      <c r="A450" s="23" t="s">
        <v>124</v>
      </c>
      <c r="B450" s="5">
        <v>54</v>
      </c>
      <c r="C450" s="6">
        <f t="shared" si="2"/>
        <v>8.4325081143002612E-5</v>
      </c>
      <c r="D450" s="19">
        <f t="shared" si="3"/>
        <v>53</v>
      </c>
      <c r="E450" s="5">
        <v>18</v>
      </c>
      <c r="F450" s="5">
        <v>10</v>
      </c>
      <c r="G450" s="5">
        <v>8</v>
      </c>
      <c r="H450" s="5">
        <v>4</v>
      </c>
      <c r="I450" s="5">
        <v>4</v>
      </c>
      <c r="J450" s="5">
        <v>6</v>
      </c>
      <c r="K450" s="5">
        <v>2</v>
      </c>
      <c r="L450" s="5">
        <v>1</v>
      </c>
    </row>
    <row r="451" spans="1:12" ht="13" hidden="1">
      <c r="A451" s="23" t="s">
        <v>125</v>
      </c>
      <c r="B451" s="5">
        <v>93</v>
      </c>
      <c r="C451" s="6">
        <f t="shared" si="2"/>
        <v>1.4637561255011775E-4</v>
      </c>
      <c r="D451" s="19">
        <f t="shared" si="3"/>
        <v>92</v>
      </c>
      <c r="E451" s="5">
        <v>2</v>
      </c>
      <c r="F451" s="5">
        <v>17</v>
      </c>
      <c r="G451" s="5">
        <v>17</v>
      </c>
      <c r="H451" s="5">
        <v>14</v>
      </c>
      <c r="I451" s="5">
        <v>20</v>
      </c>
      <c r="J451" s="5">
        <v>8</v>
      </c>
      <c r="K451" s="5">
        <v>8</v>
      </c>
      <c r="L451" s="5">
        <v>6</v>
      </c>
    </row>
    <row r="452" spans="1:12" ht="13">
      <c r="A452" s="23" t="s">
        <v>126</v>
      </c>
      <c r="B452" s="5">
        <v>1714</v>
      </c>
      <c r="C452" s="6">
        <f t="shared" si="2"/>
        <v>2.6904474002418378E-3</v>
      </c>
      <c r="D452" s="19">
        <f t="shared" si="3"/>
        <v>1691</v>
      </c>
      <c r="E452" s="5">
        <v>272</v>
      </c>
      <c r="F452" s="5">
        <v>369</v>
      </c>
      <c r="G452" s="5">
        <v>305</v>
      </c>
      <c r="H452" s="5">
        <v>214</v>
      </c>
      <c r="I452" s="5">
        <v>234</v>
      </c>
      <c r="J452" s="5">
        <v>201</v>
      </c>
      <c r="K452" s="5">
        <v>67</v>
      </c>
      <c r="L452" s="5">
        <v>29</v>
      </c>
    </row>
    <row r="453" spans="1:12" ht="13" hidden="1">
      <c r="A453" s="23" t="s">
        <v>127</v>
      </c>
      <c r="B453" s="5">
        <v>177</v>
      </c>
      <c r="C453" s="6">
        <f t="shared" si="2"/>
        <v>2.7524979316489529E-4</v>
      </c>
      <c r="D453" s="19">
        <f t="shared" si="3"/>
        <v>173</v>
      </c>
      <c r="E453" s="5">
        <v>25</v>
      </c>
      <c r="F453" s="5">
        <v>25</v>
      </c>
      <c r="G453" s="5">
        <v>34</v>
      </c>
      <c r="H453" s="5">
        <v>22</v>
      </c>
      <c r="I453" s="5">
        <v>28</v>
      </c>
      <c r="J453" s="5">
        <v>18</v>
      </c>
      <c r="K453" s="5">
        <v>17</v>
      </c>
      <c r="L453" s="5">
        <v>4</v>
      </c>
    </row>
    <row r="454" spans="1:12" ht="13" hidden="1">
      <c r="A454" s="23" t="s">
        <v>128</v>
      </c>
      <c r="B454" s="5">
        <v>547</v>
      </c>
      <c r="C454" s="6">
        <f t="shared" si="2"/>
        <v>8.5757016483166805E-4</v>
      </c>
      <c r="D454" s="19">
        <f t="shared" si="3"/>
        <v>539</v>
      </c>
      <c r="E454" s="5">
        <v>120</v>
      </c>
      <c r="F454" s="5">
        <v>103</v>
      </c>
      <c r="G454" s="5">
        <v>76</v>
      </c>
      <c r="H454" s="5">
        <v>78</v>
      </c>
      <c r="I454" s="5">
        <v>66</v>
      </c>
      <c r="J454" s="5">
        <v>67</v>
      </c>
      <c r="K454" s="5">
        <v>16</v>
      </c>
      <c r="L454" s="5">
        <v>13</v>
      </c>
    </row>
    <row r="455" spans="1:12" ht="13" hidden="1">
      <c r="A455" s="23" t="s">
        <v>129</v>
      </c>
      <c r="B455" s="5">
        <v>112</v>
      </c>
      <c r="C455" s="6">
        <f t="shared" si="2"/>
        <v>1.7660535862025074E-4</v>
      </c>
      <c r="D455" s="19">
        <f t="shared" si="3"/>
        <v>111</v>
      </c>
      <c r="E455" s="5">
        <v>17</v>
      </c>
      <c r="F455" s="5">
        <v>29</v>
      </c>
      <c r="G455" s="5">
        <v>17</v>
      </c>
      <c r="H455" s="5">
        <v>12</v>
      </c>
      <c r="I455" s="5">
        <v>18</v>
      </c>
      <c r="J455" s="5">
        <v>13</v>
      </c>
      <c r="K455" s="5">
        <v>4</v>
      </c>
      <c r="L455" s="5">
        <v>1</v>
      </c>
    </row>
    <row r="456" spans="1:12" ht="26" hidden="1">
      <c r="A456" s="23" t="s">
        <v>130</v>
      </c>
      <c r="B456" s="5">
        <v>141</v>
      </c>
      <c r="C456" s="6">
        <f t="shared" si="2"/>
        <v>2.211544580920257E-4</v>
      </c>
      <c r="D456" s="19">
        <f t="shared" si="3"/>
        <v>139</v>
      </c>
      <c r="E456" s="5">
        <v>20</v>
      </c>
      <c r="F456" s="5">
        <v>36</v>
      </c>
      <c r="G456" s="5">
        <v>21</v>
      </c>
      <c r="H456" s="5">
        <v>14</v>
      </c>
      <c r="I456" s="5">
        <v>19</v>
      </c>
      <c r="J456" s="5">
        <v>23</v>
      </c>
      <c r="K456" s="5">
        <v>5</v>
      </c>
      <c r="L456" s="5">
        <v>1</v>
      </c>
    </row>
    <row r="457" spans="1:12" ht="13" hidden="1">
      <c r="A457" s="23" t="s">
        <v>131</v>
      </c>
      <c r="B457" s="5">
        <v>737</v>
      </c>
      <c r="C457" s="6">
        <f t="shared" si="2"/>
        <v>1.1598676255329982E-3</v>
      </c>
      <c r="D457" s="19">
        <f t="shared" si="3"/>
        <v>729</v>
      </c>
      <c r="E457" s="5">
        <v>90</v>
      </c>
      <c r="F457" s="5">
        <v>176</v>
      </c>
      <c r="G457" s="5">
        <v>157</v>
      </c>
      <c r="H457" s="5">
        <v>88</v>
      </c>
      <c r="I457" s="5">
        <v>103</v>
      </c>
      <c r="J457" s="5">
        <v>80</v>
      </c>
      <c r="K457" s="5">
        <v>25</v>
      </c>
      <c r="L457" s="5">
        <v>10</v>
      </c>
    </row>
    <row r="458" spans="1:12" ht="13">
      <c r="A458" s="23" t="s">
        <v>132</v>
      </c>
      <c r="B458" s="5">
        <v>352</v>
      </c>
      <c r="C458" s="6">
        <f t="shared" si="2"/>
        <v>5.2345191879335582E-4</v>
      </c>
      <c r="D458" s="19">
        <f t="shared" si="3"/>
        <v>329</v>
      </c>
      <c r="E458" s="5">
        <v>79</v>
      </c>
      <c r="F458" s="5">
        <v>61</v>
      </c>
      <c r="G458" s="5">
        <v>43</v>
      </c>
      <c r="H458" s="5">
        <v>34</v>
      </c>
      <c r="I458" s="5">
        <v>47</v>
      </c>
      <c r="J458" s="5">
        <v>38</v>
      </c>
      <c r="K458" s="5">
        <v>13</v>
      </c>
      <c r="L458" s="5">
        <v>14</v>
      </c>
    </row>
    <row r="459" spans="1:12" ht="13" hidden="1">
      <c r="A459" s="23" t="s">
        <v>133</v>
      </c>
      <c r="B459" s="5">
        <v>38</v>
      </c>
      <c r="C459" s="6">
        <f t="shared" si="2"/>
        <v>5.7277413606567812E-5</v>
      </c>
      <c r="D459" s="19">
        <f t="shared" si="3"/>
        <v>36</v>
      </c>
      <c r="E459" s="5">
        <v>18</v>
      </c>
      <c r="F459" s="5">
        <v>7</v>
      </c>
      <c r="G459" s="5">
        <v>3</v>
      </c>
      <c r="H459" s="5">
        <v>4</v>
      </c>
      <c r="I459" s="5">
        <v>1</v>
      </c>
      <c r="J459" s="5">
        <v>2</v>
      </c>
      <c r="K459" s="5">
        <v>1</v>
      </c>
      <c r="L459" s="5">
        <v>0</v>
      </c>
    </row>
    <row r="460" spans="1:12" ht="26" hidden="1">
      <c r="A460" s="23" t="s">
        <v>134</v>
      </c>
      <c r="B460" s="5">
        <v>95</v>
      </c>
      <c r="C460" s="6">
        <f t="shared" si="2"/>
        <v>1.4955769108381594E-4</v>
      </c>
      <c r="D460" s="19">
        <f t="shared" si="3"/>
        <v>94</v>
      </c>
      <c r="E460" s="5">
        <v>23</v>
      </c>
      <c r="F460" s="5">
        <v>15</v>
      </c>
      <c r="G460" s="5">
        <v>14</v>
      </c>
      <c r="H460" s="5">
        <v>14</v>
      </c>
      <c r="I460" s="5">
        <v>16</v>
      </c>
      <c r="J460" s="5">
        <v>8</v>
      </c>
      <c r="K460" s="5">
        <v>2</v>
      </c>
      <c r="L460" s="5">
        <v>2</v>
      </c>
    </row>
    <row r="461" spans="1:12" ht="26" hidden="1">
      <c r="A461" s="23" t="s">
        <v>135</v>
      </c>
      <c r="B461" s="5">
        <v>219</v>
      </c>
      <c r="C461" s="6">
        <f t="shared" si="2"/>
        <v>3.1661681410297208E-4</v>
      </c>
      <c r="D461" s="19">
        <f t="shared" si="3"/>
        <v>199</v>
      </c>
      <c r="E461" s="5">
        <v>38</v>
      </c>
      <c r="F461" s="5">
        <v>39</v>
      </c>
      <c r="G461" s="5">
        <v>26</v>
      </c>
      <c r="H461" s="5">
        <v>16</v>
      </c>
      <c r="I461" s="5">
        <v>30</v>
      </c>
      <c r="J461" s="5">
        <v>28</v>
      </c>
      <c r="K461" s="5">
        <v>10</v>
      </c>
      <c r="L461" s="5">
        <v>12</v>
      </c>
    </row>
    <row r="462" spans="1:12" ht="13">
      <c r="A462" s="23" t="s">
        <v>136</v>
      </c>
      <c r="B462" s="5">
        <v>184</v>
      </c>
      <c r="C462" s="6">
        <f t="shared" si="2"/>
        <v>2.8797810729968816E-4</v>
      </c>
      <c r="D462" s="19">
        <f t="shared" si="3"/>
        <v>181</v>
      </c>
      <c r="E462" s="5">
        <v>54</v>
      </c>
      <c r="F462" s="5">
        <v>52</v>
      </c>
      <c r="G462" s="5">
        <v>24</v>
      </c>
      <c r="H462" s="5">
        <v>19</v>
      </c>
      <c r="I462" s="5">
        <v>11</v>
      </c>
      <c r="J462" s="5">
        <v>12</v>
      </c>
      <c r="K462" s="5">
        <v>3</v>
      </c>
      <c r="L462" s="5">
        <v>6</v>
      </c>
    </row>
    <row r="463" spans="1:12" ht="13" hidden="1">
      <c r="A463" s="23" t="s">
        <v>137</v>
      </c>
      <c r="B463" s="5">
        <v>86</v>
      </c>
      <c r="C463" s="6">
        <f t="shared" si="2"/>
        <v>1.3682937694902309E-4</v>
      </c>
      <c r="D463" s="19">
        <f t="shared" si="3"/>
        <v>86</v>
      </c>
      <c r="E463" s="5">
        <v>20</v>
      </c>
      <c r="F463" s="5">
        <v>30</v>
      </c>
      <c r="G463" s="5">
        <v>14</v>
      </c>
      <c r="H463" s="5">
        <v>15</v>
      </c>
      <c r="I463" s="5">
        <v>4</v>
      </c>
      <c r="J463" s="5">
        <v>2</v>
      </c>
      <c r="K463" s="5">
        <v>0</v>
      </c>
      <c r="L463" s="5">
        <v>1</v>
      </c>
    </row>
    <row r="464" spans="1:12" ht="13" hidden="1">
      <c r="A464" s="23" t="s">
        <v>138</v>
      </c>
      <c r="B464" s="5">
        <v>14</v>
      </c>
      <c r="C464" s="6">
        <f t="shared" si="2"/>
        <v>2.0683510469038376E-5</v>
      </c>
      <c r="D464" s="19">
        <f t="shared" si="3"/>
        <v>13</v>
      </c>
      <c r="E464" s="5">
        <v>2</v>
      </c>
      <c r="F464" s="5">
        <v>2</v>
      </c>
      <c r="G464" s="5">
        <v>1</v>
      </c>
      <c r="H464" s="5">
        <v>1</v>
      </c>
      <c r="I464" s="5">
        <v>1</v>
      </c>
      <c r="J464" s="5">
        <v>2</v>
      </c>
      <c r="K464" s="5">
        <v>0</v>
      </c>
      <c r="L464" s="5">
        <v>4</v>
      </c>
    </row>
    <row r="465" spans="1:12" ht="13" hidden="1">
      <c r="A465" s="23" t="s">
        <v>139</v>
      </c>
      <c r="B465" s="5">
        <v>6</v>
      </c>
      <c r="C465" s="6">
        <f t="shared" si="2"/>
        <v>9.5462356010946348E-6</v>
      </c>
      <c r="D465" s="19">
        <f t="shared" si="3"/>
        <v>6</v>
      </c>
      <c r="E465" s="5">
        <v>0</v>
      </c>
      <c r="F465" s="5">
        <v>2</v>
      </c>
      <c r="G465" s="5">
        <v>4</v>
      </c>
      <c r="H465" s="5">
        <v>0</v>
      </c>
      <c r="I465" s="5">
        <v>0</v>
      </c>
      <c r="J465" s="5">
        <v>0</v>
      </c>
      <c r="K465" s="5">
        <v>0</v>
      </c>
      <c r="L465" s="5">
        <v>0</v>
      </c>
    </row>
    <row r="466" spans="1:12" ht="13" hidden="1">
      <c r="A466" s="23" t="s">
        <v>140</v>
      </c>
      <c r="B466" s="5">
        <v>0</v>
      </c>
      <c r="C466" s="6">
        <f t="shared" si="2"/>
        <v>0</v>
      </c>
      <c r="D466" s="19">
        <f t="shared" si="3"/>
        <v>0</v>
      </c>
      <c r="E466" s="5">
        <v>0</v>
      </c>
      <c r="F466" s="5">
        <v>0</v>
      </c>
      <c r="G466" s="5">
        <v>0</v>
      </c>
      <c r="H466" s="5">
        <v>0</v>
      </c>
      <c r="I466" s="5">
        <v>0</v>
      </c>
      <c r="J466" s="5">
        <v>0</v>
      </c>
      <c r="K466" s="5">
        <v>0</v>
      </c>
      <c r="L466" s="5">
        <v>0</v>
      </c>
    </row>
    <row r="467" spans="1:12" ht="13" hidden="1">
      <c r="A467" s="23" t="s">
        <v>141</v>
      </c>
      <c r="B467" s="5">
        <v>78</v>
      </c>
      <c r="C467" s="6">
        <f t="shared" si="2"/>
        <v>1.2091898428053205E-4</v>
      </c>
      <c r="D467" s="19">
        <f t="shared" si="3"/>
        <v>76</v>
      </c>
      <c r="E467" s="5">
        <v>32</v>
      </c>
      <c r="F467" s="5">
        <v>18</v>
      </c>
      <c r="G467" s="5">
        <v>5</v>
      </c>
      <c r="H467" s="5">
        <v>3</v>
      </c>
      <c r="I467" s="5">
        <v>6</v>
      </c>
      <c r="J467" s="5">
        <v>8</v>
      </c>
      <c r="K467" s="5">
        <v>3</v>
      </c>
      <c r="L467" s="5">
        <v>1</v>
      </c>
    </row>
    <row r="468" spans="1:12" ht="13">
      <c r="A468" s="23" t="s">
        <v>142</v>
      </c>
      <c r="B468" s="5">
        <v>1619</v>
      </c>
      <c r="C468" s="6">
        <f t="shared" si="2"/>
        <v>2.5727104944950042E-3</v>
      </c>
      <c r="D468" s="19">
        <f t="shared" si="3"/>
        <v>1617</v>
      </c>
      <c r="E468" s="5">
        <v>653</v>
      </c>
      <c r="F468" s="5">
        <v>535</v>
      </c>
      <c r="G468" s="5">
        <v>194</v>
      </c>
      <c r="H468" s="5">
        <v>84</v>
      </c>
      <c r="I468" s="5">
        <v>84</v>
      </c>
      <c r="J468" s="5">
        <v>49</v>
      </c>
      <c r="K468" s="5">
        <v>14</v>
      </c>
      <c r="L468" s="5">
        <v>4</v>
      </c>
    </row>
    <row r="469" spans="1:12" ht="13" hidden="1">
      <c r="A469" s="20" t="s">
        <v>143</v>
      </c>
      <c r="B469" s="5">
        <v>1619</v>
      </c>
      <c r="C469" s="6">
        <f t="shared" si="2"/>
        <v>2.5727104944950042E-3</v>
      </c>
      <c r="D469" s="19">
        <f t="shared" si="3"/>
        <v>1617</v>
      </c>
      <c r="E469" s="5">
        <v>653</v>
      </c>
      <c r="F469" s="5">
        <v>535</v>
      </c>
      <c r="G469" s="5">
        <v>194</v>
      </c>
      <c r="H469" s="5">
        <v>84</v>
      </c>
      <c r="I469" s="5">
        <v>84</v>
      </c>
      <c r="J469" s="5">
        <v>49</v>
      </c>
      <c r="K469" s="5">
        <v>14</v>
      </c>
      <c r="L469" s="5">
        <v>4</v>
      </c>
    </row>
    <row r="470" spans="1:12" ht="13">
      <c r="A470" s="23" t="s">
        <v>144</v>
      </c>
      <c r="B470" s="5">
        <v>1970</v>
      </c>
      <c r="C470" s="6">
        <f t="shared" si="2"/>
        <v>3.126392159358493E-3</v>
      </c>
      <c r="D470" s="19">
        <f t="shared" si="3"/>
        <v>1965</v>
      </c>
      <c r="E470" s="5">
        <v>1105</v>
      </c>
      <c r="F470" s="5">
        <v>468</v>
      </c>
      <c r="G470" s="5">
        <v>152</v>
      </c>
      <c r="H470" s="5">
        <v>73</v>
      </c>
      <c r="I470" s="5">
        <v>85</v>
      </c>
      <c r="J470" s="5">
        <v>61</v>
      </c>
      <c r="K470" s="5">
        <v>9</v>
      </c>
      <c r="L470" s="5">
        <v>12</v>
      </c>
    </row>
    <row r="471" spans="1:12" ht="13" hidden="1">
      <c r="A471" s="23" t="s">
        <v>145</v>
      </c>
      <c r="B471" s="5">
        <v>552</v>
      </c>
      <c r="C471" s="6">
        <f t="shared" si="2"/>
        <v>8.7825367530070637E-4</v>
      </c>
      <c r="D471" s="19">
        <f t="shared" si="3"/>
        <v>552</v>
      </c>
      <c r="E471" s="5">
        <v>362</v>
      </c>
      <c r="F471" s="5">
        <v>130</v>
      </c>
      <c r="G471" s="5">
        <v>32</v>
      </c>
      <c r="H471" s="5">
        <v>14</v>
      </c>
      <c r="I471" s="5">
        <v>10</v>
      </c>
      <c r="J471" s="5">
        <v>2</v>
      </c>
      <c r="K471" s="5">
        <v>2</v>
      </c>
      <c r="L471" s="5">
        <v>0</v>
      </c>
    </row>
    <row r="472" spans="1:12" ht="13" hidden="1">
      <c r="A472" s="23" t="s">
        <v>146</v>
      </c>
      <c r="B472" s="5">
        <v>47</v>
      </c>
      <c r="C472" s="6">
        <f t="shared" si="2"/>
        <v>7.4778845541907969E-5</v>
      </c>
      <c r="D472" s="19">
        <f t="shared" si="3"/>
        <v>47</v>
      </c>
      <c r="E472" s="5">
        <v>28</v>
      </c>
      <c r="F472" s="5">
        <v>13</v>
      </c>
      <c r="G472" s="5">
        <v>4</v>
      </c>
      <c r="H472" s="5">
        <v>0</v>
      </c>
      <c r="I472" s="5">
        <v>2</v>
      </c>
      <c r="J472" s="5">
        <v>0</v>
      </c>
      <c r="K472" s="5">
        <v>0</v>
      </c>
      <c r="L472" s="5">
        <v>0</v>
      </c>
    </row>
    <row r="473" spans="1:12" ht="13" hidden="1">
      <c r="A473" s="23" t="s">
        <v>147</v>
      </c>
      <c r="B473" s="5">
        <v>55</v>
      </c>
      <c r="C473" s="6">
        <f t="shared" ref="C473:C536" si="4">D473/$D$345</f>
        <v>8.7507159676700818E-5</v>
      </c>
      <c r="D473" s="19">
        <f t="shared" si="3"/>
        <v>55</v>
      </c>
      <c r="E473" s="5">
        <v>26</v>
      </c>
      <c r="F473" s="5">
        <v>11</v>
      </c>
      <c r="G473" s="5">
        <v>4</v>
      </c>
      <c r="H473" s="5">
        <v>7</v>
      </c>
      <c r="I473" s="5">
        <v>2</v>
      </c>
      <c r="J473" s="5">
        <v>4</v>
      </c>
      <c r="K473" s="5">
        <v>0</v>
      </c>
      <c r="L473" s="5">
        <v>1</v>
      </c>
    </row>
    <row r="474" spans="1:12" ht="13" hidden="1">
      <c r="A474" s="23" t="s">
        <v>148</v>
      </c>
      <c r="B474" s="5">
        <v>77</v>
      </c>
      <c r="C474" s="6">
        <f t="shared" si="4"/>
        <v>1.2091898428053205E-4</v>
      </c>
      <c r="D474" s="19">
        <f t="shared" ref="D474:D537" si="5">SUM(E474:L474)</f>
        <v>76</v>
      </c>
      <c r="E474" s="5">
        <v>40</v>
      </c>
      <c r="F474" s="5">
        <v>21</v>
      </c>
      <c r="G474" s="5">
        <v>3</v>
      </c>
      <c r="H474" s="5">
        <v>3</v>
      </c>
      <c r="I474" s="5">
        <v>5</v>
      </c>
      <c r="J474" s="5">
        <v>2</v>
      </c>
      <c r="K474" s="5">
        <v>1</v>
      </c>
      <c r="L474" s="5">
        <v>1</v>
      </c>
    </row>
    <row r="475" spans="1:12" ht="26" hidden="1">
      <c r="A475" s="23" t="s">
        <v>149</v>
      </c>
      <c r="B475" s="5">
        <v>819</v>
      </c>
      <c r="C475" s="6">
        <f t="shared" si="4"/>
        <v>1.2982880417488703E-3</v>
      </c>
      <c r="D475" s="19">
        <f t="shared" si="5"/>
        <v>816</v>
      </c>
      <c r="E475" s="5">
        <v>459</v>
      </c>
      <c r="F475" s="5">
        <v>190</v>
      </c>
      <c r="G475" s="5">
        <v>73</v>
      </c>
      <c r="H475" s="5">
        <v>33</v>
      </c>
      <c r="I475" s="5">
        <v>28</v>
      </c>
      <c r="J475" s="5">
        <v>22</v>
      </c>
      <c r="K475" s="5">
        <v>5</v>
      </c>
      <c r="L475" s="5">
        <v>6</v>
      </c>
    </row>
    <row r="476" spans="1:12" ht="13" hidden="1">
      <c r="A476" s="23" t="s">
        <v>150</v>
      </c>
      <c r="B476" s="5">
        <v>420</v>
      </c>
      <c r="C476" s="6">
        <f t="shared" si="4"/>
        <v>6.6664545280977535E-4</v>
      </c>
      <c r="D476" s="19">
        <f t="shared" si="5"/>
        <v>419</v>
      </c>
      <c r="E476" s="5">
        <v>190</v>
      </c>
      <c r="F476" s="5">
        <v>103</v>
      </c>
      <c r="G476" s="5">
        <v>36</v>
      </c>
      <c r="H476" s="5">
        <v>16</v>
      </c>
      <c r="I476" s="5">
        <v>38</v>
      </c>
      <c r="J476" s="5">
        <v>31</v>
      </c>
      <c r="K476" s="5">
        <v>1</v>
      </c>
      <c r="L476" s="5">
        <v>4</v>
      </c>
    </row>
    <row r="477" spans="1:12" ht="13">
      <c r="A477" s="20" t="s">
        <v>151</v>
      </c>
      <c r="B477" s="5">
        <v>3276</v>
      </c>
      <c r="C477" s="6">
        <f t="shared" si="4"/>
        <v>5.205880481130274E-3</v>
      </c>
      <c r="D477" s="19">
        <f t="shared" si="5"/>
        <v>3272</v>
      </c>
      <c r="E477" s="5">
        <v>1614</v>
      </c>
      <c r="F477" s="5">
        <v>850</v>
      </c>
      <c r="G477" s="5">
        <v>356</v>
      </c>
      <c r="H477" s="5">
        <v>186</v>
      </c>
      <c r="I477" s="5">
        <v>149</v>
      </c>
      <c r="J477" s="5">
        <v>91</v>
      </c>
      <c r="K477" s="5">
        <v>18</v>
      </c>
      <c r="L477" s="5">
        <v>8</v>
      </c>
    </row>
    <row r="478" spans="1:12" ht="13" hidden="1">
      <c r="A478" s="20" t="s">
        <v>152</v>
      </c>
      <c r="B478" s="5">
        <v>3060</v>
      </c>
      <c r="C478" s="6">
        <f t="shared" si="4"/>
        <v>4.8638070387577162E-3</v>
      </c>
      <c r="D478" s="19">
        <f t="shared" si="5"/>
        <v>3057</v>
      </c>
      <c r="E478" s="5">
        <v>1612</v>
      </c>
      <c r="F478" s="5">
        <v>768</v>
      </c>
      <c r="G478" s="5">
        <v>304</v>
      </c>
      <c r="H478" s="5">
        <v>151</v>
      </c>
      <c r="I478" s="5">
        <v>130</v>
      </c>
      <c r="J478" s="5">
        <v>73</v>
      </c>
      <c r="K478" s="5">
        <v>16</v>
      </c>
      <c r="L478" s="5">
        <v>3</v>
      </c>
    </row>
    <row r="479" spans="1:12" ht="13" hidden="1">
      <c r="A479" s="20" t="s">
        <v>153</v>
      </c>
      <c r="B479" s="5">
        <v>216</v>
      </c>
      <c r="C479" s="6">
        <f t="shared" si="4"/>
        <v>3.4207344237255778E-4</v>
      </c>
      <c r="D479" s="19">
        <f t="shared" si="5"/>
        <v>215</v>
      </c>
      <c r="E479" s="5">
        <v>2</v>
      </c>
      <c r="F479" s="5">
        <v>82</v>
      </c>
      <c r="G479" s="5">
        <v>52</v>
      </c>
      <c r="H479" s="5">
        <v>35</v>
      </c>
      <c r="I479" s="5">
        <v>19</v>
      </c>
      <c r="J479" s="5">
        <v>18</v>
      </c>
      <c r="K479" s="5">
        <v>2</v>
      </c>
      <c r="L479" s="5">
        <v>5</v>
      </c>
    </row>
    <row r="480" spans="1:12" ht="13">
      <c r="A480" s="20" t="s">
        <v>154</v>
      </c>
      <c r="B480" s="5">
        <v>1100</v>
      </c>
      <c r="C480" s="6">
        <f t="shared" si="4"/>
        <v>1.7453700757334692E-3</v>
      </c>
      <c r="D480" s="19">
        <f t="shared" si="5"/>
        <v>1097</v>
      </c>
      <c r="E480" s="5">
        <v>796</v>
      </c>
      <c r="F480" s="5">
        <v>194</v>
      </c>
      <c r="G480" s="5">
        <v>44</v>
      </c>
      <c r="H480" s="5">
        <v>22</v>
      </c>
      <c r="I480" s="5">
        <v>18</v>
      </c>
      <c r="J480" s="5">
        <v>17</v>
      </c>
      <c r="K480" s="5">
        <v>3</v>
      </c>
      <c r="L480" s="5">
        <v>3</v>
      </c>
    </row>
    <row r="481" spans="1:12" ht="13" hidden="1">
      <c r="A481" s="20" t="s">
        <v>155</v>
      </c>
      <c r="B481" s="5">
        <v>1065</v>
      </c>
      <c r="C481" s="6">
        <f t="shared" si="4"/>
        <v>1.6912747406605995E-3</v>
      </c>
      <c r="D481" s="19">
        <f t="shared" si="5"/>
        <v>1063</v>
      </c>
      <c r="E481" s="5">
        <v>787</v>
      </c>
      <c r="F481" s="5">
        <v>185</v>
      </c>
      <c r="G481" s="5">
        <v>37</v>
      </c>
      <c r="H481" s="5">
        <v>19</v>
      </c>
      <c r="I481" s="5">
        <v>15</v>
      </c>
      <c r="J481" s="5">
        <v>14</v>
      </c>
      <c r="K481" s="5">
        <v>3</v>
      </c>
      <c r="L481" s="5">
        <v>3</v>
      </c>
    </row>
    <row r="482" spans="1:12" ht="26" hidden="1">
      <c r="A482" s="20" t="s">
        <v>156</v>
      </c>
      <c r="B482" s="5">
        <v>8</v>
      </c>
      <c r="C482" s="6">
        <f t="shared" si="4"/>
        <v>1.1137274867943741E-5</v>
      </c>
      <c r="D482" s="19">
        <f t="shared" si="5"/>
        <v>7</v>
      </c>
      <c r="E482" s="5">
        <v>3</v>
      </c>
      <c r="F482" s="5">
        <v>3</v>
      </c>
      <c r="G482" s="5">
        <v>0</v>
      </c>
      <c r="H482" s="5">
        <v>0</v>
      </c>
      <c r="I482" s="5">
        <v>1</v>
      </c>
      <c r="J482" s="5">
        <v>0</v>
      </c>
      <c r="K482" s="5">
        <v>0</v>
      </c>
      <c r="L482" s="5">
        <v>0</v>
      </c>
    </row>
    <row r="483" spans="1:12" ht="13" hidden="1">
      <c r="A483" s="20" t="s">
        <v>157</v>
      </c>
      <c r="B483" s="5">
        <v>27</v>
      </c>
      <c r="C483" s="6">
        <f t="shared" si="4"/>
        <v>4.2958060204925861E-5</v>
      </c>
      <c r="D483" s="19">
        <f t="shared" si="5"/>
        <v>27</v>
      </c>
      <c r="E483" s="5">
        <v>6</v>
      </c>
      <c r="F483" s="5">
        <v>6</v>
      </c>
      <c r="G483" s="5">
        <v>7</v>
      </c>
      <c r="H483" s="5">
        <v>3</v>
      </c>
      <c r="I483" s="5">
        <v>2</v>
      </c>
      <c r="J483" s="5">
        <v>3</v>
      </c>
      <c r="K483" s="5">
        <v>0</v>
      </c>
      <c r="L483" s="5">
        <v>0</v>
      </c>
    </row>
    <row r="484" spans="1:12" ht="13">
      <c r="A484" s="59" t="s">
        <v>158</v>
      </c>
      <c r="B484" s="5">
        <v>255</v>
      </c>
      <c r="C484" s="6">
        <f t="shared" si="4"/>
        <v>4.0094189524597467E-4</v>
      </c>
      <c r="D484" s="19">
        <f t="shared" si="5"/>
        <v>252</v>
      </c>
      <c r="E484" s="5">
        <v>53</v>
      </c>
      <c r="F484" s="5">
        <v>89</v>
      </c>
      <c r="G484" s="5">
        <v>41</v>
      </c>
      <c r="H484" s="5">
        <v>23</v>
      </c>
      <c r="I484" s="5">
        <v>17</v>
      </c>
      <c r="J484" s="5">
        <v>17</v>
      </c>
      <c r="K484" s="5">
        <v>8</v>
      </c>
      <c r="L484" s="5">
        <v>4</v>
      </c>
    </row>
    <row r="485" spans="1:12" ht="13" hidden="1">
      <c r="A485" s="59" t="s">
        <v>159</v>
      </c>
      <c r="B485" s="5">
        <v>255</v>
      </c>
      <c r="C485" s="6">
        <f t="shared" si="4"/>
        <v>4.0094189524597467E-4</v>
      </c>
      <c r="D485" s="19">
        <f t="shared" si="5"/>
        <v>252</v>
      </c>
      <c r="E485" s="5">
        <v>53</v>
      </c>
      <c r="F485" s="5">
        <v>89</v>
      </c>
      <c r="G485" s="5">
        <v>41</v>
      </c>
      <c r="H485" s="5">
        <v>23</v>
      </c>
      <c r="I485" s="5">
        <v>17</v>
      </c>
      <c r="J485" s="5">
        <v>17</v>
      </c>
      <c r="K485" s="5">
        <v>8</v>
      </c>
      <c r="L485" s="5">
        <v>4</v>
      </c>
    </row>
    <row r="486" spans="1:12" ht="13">
      <c r="A486" s="59" t="s">
        <v>160</v>
      </c>
      <c r="B486" s="5">
        <v>117</v>
      </c>
      <c r="C486" s="6">
        <f t="shared" si="4"/>
        <v>1.8456055495449626E-4</v>
      </c>
      <c r="D486" s="19">
        <f t="shared" si="5"/>
        <v>116</v>
      </c>
      <c r="E486" s="5">
        <v>32</v>
      </c>
      <c r="F486" s="5">
        <v>25</v>
      </c>
      <c r="G486" s="5">
        <v>17</v>
      </c>
      <c r="H486" s="5">
        <v>15</v>
      </c>
      <c r="I486" s="5">
        <v>16</v>
      </c>
      <c r="J486" s="5">
        <v>5</v>
      </c>
      <c r="K486" s="5">
        <v>5</v>
      </c>
      <c r="L486" s="5">
        <v>1</v>
      </c>
    </row>
    <row r="487" spans="1:12" ht="13" hidden="1">
      <c r="A487" s="59" t="s">
        <v>161</v>
      </c>
      <c r="B487" s="5">
        <v>117</v>
      </c>
      <c r="C487" s="6">
        <f t="shared" si="4"/>
        <v>1.8456055495449626E-4</v>
      </c>
      <c r="D487" s="19">
        <f t="shared" si="5"/>
        <v>116</v>
      </c>
      <c r="E487" s="5">
        <v>32</v>
      </c>
      <c r="F487" s="5">
        <v>25</v>
      </c>
      <c r="G487" s="5">
        <v>17</v>
      </c>
      <c r="H487" s="5">
        <v>15</v>
      </c>
      <c r="I487" s="5">
        <v>16</v>
      </c>
      <c r="J487" s="5">
        <v>5</v>
      </c>
      <c r="K487" s="5">
        <v>5</v>
      </c>
      <c r="L487" s="5">
        <v>1</v>
      </c>
    </row>
    <row r="488" spans="1:12" ht="13">
      <c r="A488" s="59" t="s">
        <v>162</v>
      </c>
      <c r="B488" s="5">
        <v>457</v>
      </c>
      <c r="C488" s="6">
        <f t="shared" si="4"/>
        <v>7.1437663081524853E-4</v>
      </c>
      <c r="D488" s="19">
        <f t="shared" si="5"/>
        <v>449</v>
      </c>
      <c r="E488" s="5">
        <v>79</v>
      </c>
      <c r="F488" s="5">
        <v>111</v>
      </c>
      <c r="G488" s="5">
        <v>66</v>
      </c>
      <c r="H488" s="5">
        <v>53</v>
      </c>
      <c r="I488" s="5">
        <v>52</v>
      </c>
      <c r="J488" s="5">
        <v>51</v>
      </c>
      <c r="K488" s="5">
        <v>22</v>
      </c>
      <c r="L488" s="5">
        <v>15</v>
      </c>
    </row>
    <row r="489" spans="1:12" ht="13" hidden="1">
      <c r="A489" s="20" t="s">
        <v>163</v>
      </c>
      <c r="B489" s="5">
        <v>302</v>
      </c>
      <c r="C489" s="6">
        <f t="shared" si="4"/>
        <v>4.7412970152103354E-4</v>
      </c>
      <c r="D489" s="19">
        <f t="shared" si="5"/>
        <v>298</v>
      </c>
      <c r="E489" s="5">
        <v>69</v>
      </c>
      <c r="F489" s="5">
        <v>83</v>
      </c>
      <c r="G489" s="5">
        <v>40</v>
      </c>
      <c r="H489" s="5">
        <v>26</v>
      </c>
      <c r="I489" s="5">
        <v>29</v>
      </c>
      <c r="J489" s="5">
        <v>30</v>
      </c>
      <c r="K489" s="5">
        <v>12</v>
      </c>
      <c r="L489" s="5">
        <v>9</v>
      </c>
    </row>
    <row r="490" spans="1:12" ht="13" hidden="1">
      <c r="A490" s="20" t="s">
        <v>164</v>
      </c>
      <c r="B490" s="5">
        <v>74</v>
      </c>
      <c r="C490" s="6">
        <f t="shared" si="4"/>
        <v>1.1137274867943741E-4</v>
      </c>
      <c r="D490" s="19">
        <f t="shared" si="5"/>
        <v>70</v>
      </c>
      <c r="E490" s="5">
        <v>9</v>
      </c>
      <c r="F490" s="5">
        <v>15</v>
      </c>
      <c r="G490" s="5">
        <v>11</v>
      </c>
      <c r="H490" s="5">
        <v>15</v>
      </c>
      <c r="I490" s="5">
        <v>6</v>
      </c>
      <c r="J490" s="5">
        <v>5</v>
      </c>
      <c r="K490" s="5">
        <v>5</v>
      </c>
      <c r="L490" s="5">
        <v>4</v>
      </c>
    </row>
    <row r="491" spans="1:12" ht="13" hidden="1">
      <c r="A491" s="20" t="s">
        <v>165</v>
      </c>
      <c r="B491" s="5">
        <v>81</v>
      </c>
      <c r="C491" s="6">
        <f t="shared" si="4"/>
        <v>1.2887418061477757E-4</v>
      </c>
      <c r="D491" s="19">
        <f t="shared" si="5"/>
        <v>81</v>
      </c>
      <c r="E491" s="5">
        <v>1</v>
      </c>
      <c r="F491" s="5">
        <v>13</v>
      </c>
      <c r="G491" s="5">
        <v>15</v>
      </c>
      <c r="H491" s="5">
        <v>12</v>
      </c>
      <c r="I491" s="5">
        <v>17</v>
      </c>
      <c r="J491" s="5">
        <v>16</v>
      </c>
      <c r="K491" s="5">
        <v>5</v>
      </c>
      <c r="L491" s="5">
        <v>2</v>
      </c>
    </row>
    <row r="492" spans="1:12" ht="26">
      <c r="A492" s="59" t="s">
        <v>166</v>
      </c>
      <c r="B492" s="5">
        <v>77</v>
      </c>
      <c r="C492" s="6">
        <f t="shared" si="4"/>
        <v>1.2251002354738116E-4</v>
      </c>
      <c r="D492" s="19">
        <f t="shared" si="5"/>
        <v>77</v>
      </c>
      <c r="E492" s="5">
        <v>32</v>
      </c>
      <c r="F492" s="5">
        <v>22</v>
      </c>
      <c r="G492" s="5">
        <v>6</v>
      </c>
      <c r="H492" s="5">
        <v>8</v>
      </c>
      <c r="I492" s="5">
        <v>5</v>
      </c>
      <c r="J492" s="5">
        <v>3</v>
      </c>
      <c r="K492" s="5">
        <v>1</v>
      </c>
      <c r="L492" s="5">
        <v>0</v>
      </c>
    </row>
    <row r="493" spans="1:12" ht="26" hidden="1">
      <c r="A493" s="20" t="s">
        <v>167</v>
      </c>
      <c r="B493" s="5">
        <v>77</v>
      </c>
      <c r="C493" s="6">
        <f t="shared" si="4"/>
        <v>1.2251002354738116E-4</v>
      </c>
      <c r="D493" s="19">
        <f t="shared" si="5"/>
        <v>77</v>
      </c>
      <c r="E493" s="5">
        <v>32</v>
      </c>
      <c r="F493" s="5">
        <v>22</v>
      </c>
      <c r="G493" s="5">
        <v>6</v>
      </c>
      <c r="H493" s="5">
        <v>8</v>
      </c>
      <c r="I493" s="5">
        <v>5</v>
      </c>
      <c r="J493" s="5">
        <v>3</v>
      </c>
      <c r="K493" s="5">
        <v>1</v>
      </c>
      <c r="L493" s="5">
        <v>0</v>
      </c>
    </row>
    <row r="494" spans="1:12" ht="13">
      <c r="A494" s="20" t="s">
        <v>168</v>
      </c>
      <c r="B494" s="5">
        <v>40714</v>
      </c>
      <c r="C494" s="6">
        <f t="shared" si="4"/>
        <v>6.4763253357092848E-2</v>
      </c>
      <c r="D494" s="19">
        <f t="shared" si="5"/>
        <v>40705</v>
      </c>
      <c r="E494" s="5">
        <v>26920</v>
      </c>
      <c r="F494" s="5">
        <v>8810</v>
      </c>
      <c r="G494" s="5">
        <v>2711</v>
      </c>
      <c r="H494" s="5">
        <v>1135</v>
      </c>
      <c r="I494" s="5">
        <v>725</v>
      </c>
      <c r="J494" s="5">
        <v>321</v>
      </c>
      <c r="K494" s="5">
        <v>67</v>
      </c>
      <c r="L494" s="5">
        <v>16</v>
      </c>
    </row>
    <row r="495" spans="1:12" ht="13" hidden="1">
      <c r="A495" s="20" t="s">
        <v>169</v>
      </c>
      <c r="B495" s="5">
        <v>12972</v>
      </c>
      <c r="C495" s="6">
        <f t="shared" si="4"/>
        <v>2.0637370330299751E-2</v>
      </c>
      <c r="D495" s="19">
        <f t="shared" si="5"/>
        <v>12971</v>
      </c>
      <c r="E495" s="5">
        <v>9790</v>
      </c>
      <c r="F495" s="5">
        <v>2543</v>
      </c>
      <c r="G495" s="5">
        <v>432</v>
      </c>
      <c r="H495" s="5">
        <v>116</v>
      </c>
      <c r="I495" s="5">
        <v>60</v>
      </c>
      <c r="J495" s="5">
        <v>22</v>
      </c>
      <c r="K495" s="5">
        <v>6</v>
      </c>
      <c r="L495" s="5">
        <v>2</v>
      </c>
    </row>
    <row r="496" spans="1:12" ht="13" hidden="1">
      <c r="A496" s="20" t="s">
        <v>170</v>
      </c>
      <c r="B496" s="5">
        <v>27742</v>
      </c>
      <c r="C496" s="6">
        <f t="shared" si="4"/>
        <v>4.41258830267931E-2</v>
      </c>
      <c r="D496" s="19">
        <f t="shared" si="5"/>
        <v>27734</v>
      </c>
      <c r="E496" s="5">
        <v>17130</v>
      </c>
      <c r="F496" s="5">
        <v>6267</v>
      </c>
      <c r="G496" s="5">
        <v>2279</v>
      </c>
      <c r="H496" s="5">
        <v>1019</v>
      </c>
      <c r="I496" s="5">
        <v>665</v>
      </c>
      <c r="J496" s="5">
        <v>299</v>
      </c>
      <c r="K496" s="5">
        <v>61</v>
      </c>
      <c r="L496" s="5">
        <v>14</v>
      </c>
    </row>
    <row r="497" spans="1:12" ht="13">
      <c r="A497" s="20" t="s">
        <v>171</v>
      </c>
      <c r="B497" s="5">
        <v>1543</v>
      </c>
      <c r="C497" s="6">
        <f t="shared" si="4"/>
        <v>2.4438363138802265E-3</v>
      </c>
      <c r="D497" s="19">
        <f t="shared" si="5"/>
        <v>1536</v>
      </c>
      <c r="E497" s="5">
        <v>1142</v>
      </c>
      <c r="F497" s="5">
        <v>149</v>
      </c>
      <c r="G497" s="5">
        <v>69</v>
      </c>
      <c r="H497" s="5">
        <v>48</v>
      </c>
      <c r="I497" s="5">
        <v>51</v>
      </c>
      <c r="J497" s="5">
        <v>55</v>
      </c>
      <c r="K497" s="5">
        <v>13</v>
      </c>
      <c r="L497" s="5">
        <v>9</v>
      </c>
    </row>
    <row r="498" spans="1:12" ht="13" hidden="1">
      <c r="A498" s="20" t="s">
        <v>172</v>
      </c>
      <c r="B498" s="5">
        <v>119</v>
      </c>
      <c r="C498" s="6">
        <f t="shared" si="4"/>
        <v>1.7978743715394896E-4</v>
      </c>
      <c r="D498" s="19">
        <f t="shared" si="5"/>
        <v>113</v>
      </c>
      <c r="E498" s="5">
        <v>18</v>
      </c>
      <c r="F498" s="5">
        <v>13</v>
      </c>
      <c r="G498" s="5">
        <v>8</v>
      </c>
      <c r="H498" s="5">
        <v>11</v>
      </c>
      <c r="I498" s="5">
        <v>20</v>
      </c>
      <c r="J498" s="5">
        <v>27</v>
      </c>
      <c r="K498" s="5">
        <v>9</v>
      </c>
      <c r="L498" s="5">
        <v>7</v>
      </c>
    </row>
    <row r="499" spans="1:12" ht="13" hidden="1">
      <c r="A499" s="20" t="s">
        <v>173</v>
      </c>
      <c r="B499" s="5">
        <v>182</v>
      </c>
      <c r="C499" s="6">
        <f t="shared" si="4"/>
        <v>2.8956914656653727E-4</v>
      </c>
      <c r="D499" s="19">
        <f t="shared" si="5"/>
        <v>182</v>
      </c>
      <c r="E499" s="5">
        <v>14</v>
      </c>
      <c r="F499" s="5">
        <v>83</v>
      </c>
      <c r="G499" s="5">
        <v>34</v>
      </c>
      <c r="H499" s="5">
        <v>24</v>
      </c>
      <c r="I499" s="5">
        <v>11</v>
      </c>
      <c r="J499" s="5">
        <v>12</v>
      </c>
      <c r="K499" s="5">
        <v>2</v>
      </c>
      <c r="L499" s="5">
        <v>2</v>
      </c>
    </row>
    <row r="500" spans="1:12" ht="13" hidden="1">
      <c r="A500" s="20" t="s">
        <v>174</v>
      </c>
      <c r="B500" s="5">
        <v>1242</v>
      </c>
      <c r="C500" s="6">
        <f t="shared" si="4"/>
        <v>1.9744797301597403E-3</v>
      </c>
      <c r="D500" s="19">
        <f t="shared" si="5"/>
        <v>1241</v>
      </c>
      <c r="E500" s="5">
        <v>1110</v>
      </c>
      <c r="F500" s="5">
        <v>53</v>
      </c>
      <c r="G500" s="5">
        <v>27</v>
      </c>
      <c r="H500" s="5">
        <v>13</v>
      </c>
      <c r="I500" s="5">
        <v>20</v>
      </c>
      <c r="J500" s="5">
        <v>16</v>
      </c>
      <c r="K500" s="5">
        <v>2</v>
      </c>
      <c r="L500" s="5">
        <v>0</v>
      </c>
    </row>
    <row r="501" spans="1:12" ht="13">
      <c r="A501" s="20" t="s">
        <v>175</v>
      </c>
      <c r="B501" s="5">
        <v>33298</v>
      </c>
      <c r="C501" s="6">
        <f t="shared" si="4"/>
        <v>5.2960924075606187E-2</v>
      </c>
      <c r="D501" s="19">
        <f t="shared" si="5"/>
        <v>33287</v>
      </c>
      <c r="E501" s="5">
        <v>18164</v>
      </c>
      <c r="F501" s="5">
        <v>9181</v>
      </c>
      <c r="G501" s="5">
        <v>2998</v>
      </c>
      <c r="H501" s="5">
        <v>1330</v>
      </c>
      <c r="I501" s="5">
        <v>985</v>
      </c>
      <c r="J501" s="5">
        <v>503</v>
      </c>
      <c r="K501" s="5">
        <v>97</v>
      </c>
      <c r="L501" s="5">
        <v>29</v>
      </c>
    </row>
    <row r="502" spans="1:12" ht="13" hidden="1">
      <c r="A502" s="20" t="s">
        <v>176</v>
      </c>
      <c r="B502" s="5">
        <v>1401</v>
      </c>
      <c r="C502" s="6">
        <f t="shared" si="4"/>
        <v>2.2290460128555974E-3</v>
      </c>
      <c r="D502" s="19">
        <f t="shared" si="5"/>
        <v>1401</v>
      </c>
      <c r="E502" s="5">
        <v>667</v>
      </c>
      <c r="F502" s="5">
        <v>403</v>
      </c>
      <c r="G502" s="5">
        <v>113</v>
      </c>
      <c r="H502" s="5">
        <v>79</v>
      </c>
      <c r="I502" s="5">
        <v>79</v>
      </c>
      <c r="J502" s="5">
        <v>51</v>
      </c>
      <c r="K502" s="5">
        <v>8</v>
      </c>
      <c r="L502" s="5">
        <v>1</v>
      </c>
    </row>
    <row r="503" spans="1:12" ht="26" hidden="1">
      <c r="A503" s="20" t="s">
        <v>177</v>
      </c>
      <c r="B503" s="5">
        <v>15545</v>
      </c>
      <c r="C503" s="6">
        <f t="shared" si="4"/>
        <v>2.4718386049767709E-2</v>
      </c>
      <c r="D503" s="19">
        <f t="shared" si="5"/>
        <v>15536</v>
      </c>
      <c r="E503" s="5">
        <v>7640</v>
      </c>
      <c r="F503" s="5">
        <v>4540</v>
      </c>
      <c r="G503" s="5">
        <v>1648</v>
      </c>
      <c r="H503" s="5">
        <v>756</v>
      </c>
      <c r="I503" s="5">
        <v>569</v>
      </c>
      <c r="J503" s="5">
        <v>302</v>
      </c>
      <c r="K503" s="5">
        <v>62</v>
      </c>
      <c r="L503" s="5">
        <v>19</v>
      </c>
    </row>
    <row r="504" spans="1:12" ht="13" hidden="1">
      <c r="A504" s="20" t="s">
        <v>178</v>
      </c>
      <c r="B504" s="5">
        <v>13745</v>
      </c>
      <c r="C504" s="6">
        <f t="shared" si="4"/>
        <v>2.1868834722840961E-2</v>
      </c>
      <c r="D504" s="19">
        <f t="shared" si="5"/>
        <v>13745</v>
      </c>
      <c r="E504" s="5">
        <v>9041</v>
      </c>
      <c r="F504" s="5">
        <v>3282</v>
      </c>
      <c r="G504" s="5">
        <v>843</v>
      </c>
      <c r="H504" s="5">
        <v>308</v>
      </c>
      <c r="I504" s="5">
        <v>192</v>
      </c>
      <c r="J504" s="5">
        <v>72</v>
      </c>
      <c r="K504" s="5">
        <v>5</v>
      </c>
      <c r="L504" s="5">
        <v>2</v>
      </c>
    </row>
    <row r="505" spans="1:12" ht="13" hidden="1">
      <c r="A505" s="20" t="s">
        <v>179</v>
      </c>
      <c r="B505" s="5">
        <v>2607</v>
      </c>
      <c r="C505" s="6">
        <f t="shared" si="4"/>
        <v>4.1446572901419204E-3</v>
      </c>
      <c r="D505" s="19">
        <f t="shared" si="5"/>
        <v>2605</v>
      </c>
      <c r="E505" s="5">
        <v>816</v>
      </c>
      <c r="F505" s="5">
        <v>956</v>
      </c>
      <c r="G505" s="5">
        <v>394</v>
      </c>
      <c r="H505" s="5">
        <v>187</v>
      </c>
      <c r="I505" s="5">
        <v>145</v>
      </c>
      <c r="J505" s="5">
        <v>78</v>
      </c>
      <c r="K505" s="5">
        <v>22</v>
      </c>
      <c r="L505" s="5">
        <v>7</v>
      </c>
    </row>
    <row r="506" spans="1:12" ht="13">
      <c r="A506" s="20" t="s">
        <v>180</v>
      </c>
      <c r="B506" s="5">
        <v>10707</v>
      </c>
      <c r="C506" s="6">
        <f t="shared" si="4"/>
        <v>1.7008209762616942E-2</v>
      </c>
      <c r="D506" s="19">
        <f t="shared" si="5"/>
        <v>10690</v>
      </c>
      <c r="E506" s="5">
        <v>4440</v>
      </c>
      <c r="F506" s="5">
        <v>3957</v>
      </c>
      <c r="G506" s="5">
        <v>1260</v>
      </c>
      <c r="H506" s="5">
        <v>459</v>
      </c>
      <c r="I506" s="5">
        <v>335</v>
      </c>
      <c r="J506" s="5">
        <v>157</v>
      </c>
      <c r="K506" s="5">
        <v>44</v>
      </c>
      <c r="L506" s="5">
        <v>38</v>
      </c>
    </row>
    <row r="507" spans="1:12" ht="13" hidden="1">
      <c r="A507" s="20" t="s">
        <v>181</v>
      </c>
      <c r="B507" s="5">
        <v>2575</v>
      </c>
      <c r="C507" s="6">
        <f t="shared" si="4"/>
        <v>4.0778336409342582E-3</v>
      </c>
      <c r="D507" s="19">
        <f t="shared" si="5"/>
        <v>2563</v>
      </c>
      <c r="E507" s="5">
        <v>1465</v>
      </c>
      <c r="F507" s="5">
        <v>681</v>
      </c>
      <c r="G507" s="5">
        <v>161</v>
      </c>
      <c r="H507" s="5">
        <v>72</v>
      </c>
      <c r="I507" s="5">
        <v>75</v>
      </c>
      <c r="J507" s="5">
        <v>58</v>
      </c>
      <c r="K507" s="5">
        <v>30</v>
      </c>
      <c r="L507" s="5">
        <v>21</v>
      </c>
    </row>
    <row r="508" spans="1:12" ht="13" hidden="1">
      <c r="A508" s="20" t="s">
        <v>182</v>
      </c>
      <c r="B508" s="5">
        <v>6326</v>
      </c>
      <c r="C508" s="6">
        <f t="shared" si="4"/>
        <v>1.0060141284286896E-2</v>
      </c>
      <c r="D508" s="19">
        <f t="shared" si="5"/>
        <v>6323</v>
      </c>
      <c r="E508" s="5">
        <v>2298</v>
      </c>
      <c r="F508" s="5">
        <v>2653</v>
      </c>
      <c r="G508" s="5">
        <v>851</v>
      </c>
      <c r="H508" s="5">
        <v>284</v>
      </c>
      <c r="I508" s="5">
        <v>173</v>
      </c>
      <c r="J508" s="5">
        <v>51</v>
      </c>
      <c r="K508" s="5">
        <v>7</v>
      </c>
      <c r="L508" s="5">
        <v>6</v>
      </c>
    </row>
    <row r="509" spans="1:12" ht="13" hidden="1">
      <c r="A509" s="20" t="s">
        <v>183</v>
      </c>
      <c r="B509" s="5">
        <v>1220</v>
      </c>
      <c r="C509" s="6">
        <f t="shared" si="4"/>
        <v>1.937885827022211E-3</v>
      </c>
      <c r="D509" s="19">
        <f t="shared" si="5"/>
        <v>1218</v>
      </c>
      <c r="E509" s="5">
        <v>465</v>
      </c>
      <c r="F509" s="5">
        <v>404</v>
      </c>
      <c r="G509" s="5">
        <v>164</v>
      </c>
      <c r="H509" s="5">
        <v>75</v>
      </c>
      <c r="I509" s="5">
        <v>58</v>
      </c>
      <c r="J509" s="5">
        <v>37</v>
      </c>
      <c r="K509" s="5">
        <v>5</v>
      </c>
      <c r="L509" s="5">
        <v>10</v>
      </c>
    </row>
    <row r="510" spans="1:12" ht="26" hidden="1">
      <c r="A510" s="20" t="s">
        <v>184</v>
      </c>
      <c r="B510" s="5">
        <v>586</v>
      </c>
      <c r="C510" s="6">
        <f t="shared" si="4"/>
        <v>9.3234901037357598E-4</v>
      </c>
      <c r="D510" s="19">
        <f t="shared" si="5"/>
        <v>586</v>
      </c>
      <c r="E510" s="5">
        <v>212</v>
      </c>
      <c r="F510" s="5">
        <v>219</v>
      </c>
      <c r="G510" s="5">
        <v>84</v>
      </c>
      <c r="H510" s="5">
        <v>28</v>
      </c>
      <c r="I510" s="5">
        <v>29</v>
      </c>
      <c r="J510" s="5">
        <v>11</v>
      </c>
      <c r="K510" s="5">
        <v>2</v>
      </c>
      <c r="L510" s="5">
        <v>1</v>
      </c>
    </row>
    <row r="511" spans="1:12" ht="26">
      <c r="A511" s="20" t="s">
        <v>185</v>
      </c>
      <c r="B511" s="5">
        <v>41693</v>
      </c>
      <c r="C511" s="6">
        <f t="shared" si="4"/>
        <v>6.6172914147521161E-2</v>
      </c>
      <c r="D511" s="19">
        <f t="shared" si="5"/>
        <v>41591</v>
      </c>
      <c r="E511" s="5">
        <v>21277</v>
      </c>
      <c r="F511" s="5">
        <v>11024</v>
      </c>
      <c r="G511" s="5">
        <v>3710</v>
      </c>
      <c r="H511" s="5">
        <v>2561</v>
      </c>
      <c r="I511" s="5">
        <v>1514</v>
      </c>
      <c r="J511" s="5">
        <v>1006</v>
      </c>
      <c r="K511" s="5">
        <v>346</v>
      </c>
      <c r="L511" s="5">
        <v>153</v>
      </c>
    </row>
    <row r="512" spans="1:12" ht="13" hidden="1">
      <c r="A512" s="20" t="s">
        <v>186</v>
      </c>
      <c r="B512" s="5">
        <v>14577</v>
      </c>
      <c r="C512" s="6">
        <f t="shared" si="4"/>
        <v>2.3184624196525169E-2</v>
      </c>
      <c r="D512" s="19">
        <f t="shared" si="5"/>
        <v>14572</v>
      </c>
      <c r="E512" s="5">
        <v>11040</v>
      </c>
      <c r="F512" s="5">
        <v>2767</v>
      </c>
      <c r="G512" s="5">
        <v>414</v>
      </c>
      <c r="H512" s="5">
        <v>197</v>
      </c>
      <c r="I512" s="5">
        <v>85</v>
      </c>
      <c r="J512" s="5">
        <v>52</v>
      </c>
      <c r="K512" s="5">
        <v>13</v>
      </c>
      <c r="L512" s="5">
        <v>4</v>
      </c>
    </row>
    <row r="513" spans="1:12" ht="26" hidden="1">
      <c r="A513" s="20" t="s">
        <v>187</v>
      </c>
      <c r="B513" s="5">
        <v>1206</v>
      </c>
      <c r="C513" s="6">
        <f t="shared" si="4"/>
        <v>1.9172023165531726E-3</v>
      </c>
      <c r="D513" s="19">
        <f t="shared" si="5"/>
        <v>1205</v>
      </c>
      <c r="E513" s="5">
        <v>422</v>
      </c>
      <c r="F513" s="5">
        <v>456</v>
      </c>
      <c r="G513" s="5">
        <v>153</v>
      </c>
      <c r="H513" s="5">
        <v>89</v>
      </c>
      <c r="I513" s="5">
        <v>55</v>
      </c>
      <c r="J513" s="5">
        <v>21</v>
      </c>
      <c r="K513" s="5">
        <v>9</v>
      </c>
      <c r="L513" s="5">
        <v>0</v>
      </c>
    </row>
    <row r="514" spans="1:12" ht="26" hidden="1">
      <c r="A514" s="20" t="s">
        <v>188</v>
      </c>
      <c r="B514" s="5">
        <v>5864</v>
      </c>
      <c r="C514" s="6">
        <f t="shared" si="4"/>
        <v>9.2900782791319296E-3</v>
      </c>
      <c r="D514" s="19">
        <f t="shared" si="5"/>
        <v>5839</v>
      </c>
      <c r="E514" s="5">
        <v>2275</v>
      </c>
      <c r="F514" s="5">
        <v>1646</v>
      </c>
      <c r="G514" s="5">
        <v>685</v>
      </c>
      <c r="H514" s="5">
        <v>536</v>
      </c>
      <c r="I514" s="5">
        <v>326</v>
      </c>
      <c r="J514" s="5">
        <v>256</v>
      </c>
      <c r="K514" s="5">
        <v>73</v>
      </c>
      <c r="L514" s="5">
        <v>42</v>
      </c>
    </row>
    <row r="515" spans="1:12" ht="13" hidden="1">
      <c r="A515" s="20" t="s">
        <v>189</v>
      </c>
      <c r="B515" s="5">
        <v>8369</v>
      </c>
      <c r="C515" s="6">
        <f t="shared" si="4"/>
        <v>1.325653917138675E-2</v>
      </c>
      <c r="D515" s="19">
        <f t="shared" si="5"/>
        <v>8332</v>
      </c>
      <c r="E515" s="5">
        <v>3413</v>
      </c>
      <c r="F515" s="5">
        <v>2667</v>
      </c>
      <c r="G515" s="5">
        <v>958</v>
      </c>
      <c r="H515" s="5">
        <v>591</v>
      </c>
      <c r="I515" s="5">
        <v>347</v>
      </c>
      <c r="J515" s="5">
        <v>216</v>
      </c>
      <c r="K515" s="5">
        <v>93</v>
      </c>
      <c r="L515" s="5">
        <v>47</v>
      </c>
    </row>
    <row r="516" spans="1:12" ht="26" hidden="1">
      <c r="A516" s="20" t="s">
        <v>190</v>
      </c>
      <c r="B516" s="5">
        <v>755</v>
      </c>
      <c r="C516" s="6">
        <f t="shared" si="4"/>
        <v>1.188506332336282E-3</v>
      </c>
      <c r="D516" s="19">
        <f t="shared" si="5"/>
        <v>747</v>
      </c>
      <c r="E516" s="5">
        <v>111</v>
      </c>
      <c r="F516" s="5">
        <v>225</v>
      </c>
      <c r="G516" s="5">
        <v>130</v>
      </c>
      <c r="H516" s="5">
        <v>95</v>
      </c>
      <c r="I516" s="5">
        <v>89</v>
      </c>
      <c r="J516" s="5">
        <v>65</v>
      </c>
      <c r="K516" s="5">
        <v>25</v>
      </c>
      <c r="L516" s="5">
        <v>7</v>
      </c>
    </row>
    <row r="517" spans="1:12" ht="13" hidden="1">
      <c r="A517" s="20" t="s">
        <v>191</v>
      </c>
      <c r="B517" s="5">
        <v>3742</v>
      </c>
      <c r="C517" s="6">
        <f t="shared" si="4"/>
        <v>5.9345764653471649E-3</v>
      </c>
      <c r="D517" s="19">
        <f t="shared" si="5"/>
        <v>3730</v>
      </c>
      <c r="E517" s="5">
        <v>1218</v>
      </c>
      <c r="F517" s="5">
        <v>1184</v>
      </c>
      <c r="G517" s="5">
        <v>493</v>
      </c>
      <c r="H517" s="5">
        <v>369</v>
      </c>
      <c r="I517" s="5">
        <v>248</v>
      </c>
      <c r="J517" s="5">
        <v>153</v>
      </c>
      <c r="K517" s="5">
        <v>51</v>
      </c>
      <c r="L517" s="5">
        <v>14</v>
      </c>
    </row>
    <row r="518" spans="1:12" ht="13" hidden="1">
      <c r="A518" s="20" t="s">
        <v>192</v>
      </c>
      <c r="B518" s="5">
        <v>5147</v>
      </c>
      <c r="C518" s="6">
        <f t="shared" si="4"/>
        <v>8.1668045567364605E-3</v>
      </c>
      <c r="D518" s="19">
        <f t="shared" si="5"/>
        <v>5133</v>
      </c>
      <c r="E518" s="5">
        <v>1756</v>
      </c>
      <c r="F518" s="5">
        <v>1474</v>
      </c>
      <c r="G518" s="5">
        <v>686</v>
      </c>
      <c r="H518" s="5">
        <v>564</v>
      </c>
      <c r="I518" s="5">
        <v>313</v>
      </c>
      <c r="J518" s="5">
        <v>223</v>
      </c>
      <c r="K518" s="5">
        <v>78</v>
      </c>
      <c r="L518" s="5">
        <v>39</v>
      </c>
    </row>
    <row r="519" spans="1:12" ht="13" hidden="1">
      <c r="A519" s="20" t="s">
        <v>193</v>
      </c>
      <c r="B519" s="5">
        <v>2033</v>
      </c>
      <c r="C519" s="6">
        <f t="shared" si="4"/>
        <v>3.234582829504232E-3</v>
      </c>
      <c r="D519" s="19">
        <f t="shared" si="5"/>
        <v>2033</v>
      </c>
      <c r="E519" s="5">
        <v>1042</v>
      </c>
      <c r="F519" s="5">
        <v>605</v>
      </c>
      <c r="G519" s="5">
        <v>191</v>
      </c>
      <c r="H519" s="5">
        <v>120</v>
      </c>
      <c r="I519" s="5">
        <v>51</v>
      </c>
      <c r="J519" s="5">
        <v>20</v>
      </c>
      <c r="K519" s="5">
        <v>4</v>
      </c>
      <c r="L519" s="5">
        <v>0</v>
      </c>
    </row>
    <row r="520" spans="1:12" ht="26">
      <c r="A520" s="20" t="s">
        <v>194</v>
      </c>
      <c r="B520" s="5">
        <v>69185</v>
      </c>
      <c r="C520" s="6">
        <f t="shared" si="4"/>
        <v>0.1099662699675428</v>
      </c>
      <c r="D520" s="19">
        <f t="shared" si="5"/>
        <v>69116</v>
      </c>
      <c r="E520" s="5">
        <v>31160</v>
      </c>
      <c r="F520" s="5">
        <v>25048</v>
      </c>
      <c r="G520" s="5">
        <v>9314</v>
      </c>
      <c r="H520" s="5">
        <v>2241</v>
      </c>
      <c r="I520" s="5">
        <v>759</v>
      </c>
      <c r="J520" s="5">
        <v>438</v>
      </c>
      <c r="K520" s="5">
        <v>103</v>
      </c>
      <c r="L520" s="5">
        <v>53</v>
      </c>
    </row>
    <row r="521" spans="1:12" ht="13">
      <c r="A521" s="20" t="s">
        <v>195</v>
      </c>
      <c r="B521" s="5">
        <v>5695</v>
      </c>
      <c r="C521" s="6">
        <f t="shared" si="4"/>
        <v>9.0355119964360721E-3</v>
      </c>
      <c r="D521" s="19">
        <f t="shared" si="5"/>
        <v>5679</v>
      </c>
      <c r="E521" s="5">
        <v>2297</v>
      </c>
      <c r="F521" s="5">
        <v>2127</v>
      </c>
      <c r="G521" s="5">
        <v>880</v>
      </c>
      <c r="H521" s="5">
        <v>230</v>
      </c>
      <c r="I521" s="5">
        <v>72</v>
      </c>
      <c r="J521" s="5">
        <v>61</v>
      </c>
      <c r="K521" s="5">
        <v>9</v>
      </c>
      <c r="L521" s="5">
        <v>3</v>
      </c>
    </row>
    <row r="522" spans="1:12" ht="26">
      <c r="A522" s="20" t="s">
        <v>196</v>
      </c>
      <c r="B522" s="5">
        <v>16154</v>
      </c>
      <c r="C522" s="6">
        <f t="shared" si="4"/>
        <v>2.569687519887991E-2</v>
      </c>
      <c r="D522" s="19">
        <f t="shared" si="5"/>
        <v>16151</v>
      </c>
      <c r="E522" s="5">
        <v>5315</v>
      </c>
      <c r="F522" s="5">
        <v>6980</v>
      </c>
      <c r="G522" s="5">
        <v>2832</v>
      </c>
      <c r="H522" s="5">
        <v>657</v>
      </c>
      <c r="I522" s="5">
        <v>220</v>
      </c>
      <c r="J522" s="5">
        <v>119</v>
      </c>
      <c r="K522" s="5">
        <v>22</v>
      </c>
      <c r="L522" s="5">
        <v>6</v>
      </c>
    </row>
    <row r="523" spans="1:12" ht="26" hidden="1">
      <c r="A523" s="20" t="s">
        <v>197</v>
      </c>
      <c r="B523" s="5">
        <v>570</v>
      </c>
      <c r="C523" s="6">
        <f t="shared" si="4"/>
        <v>9.0689238210399034E-4</v>
      </c>
      <c r="D523" s="19">
        <f t="shared" si="5"/>
        <v>570</v>
      </c>
      <c r="E523" s="5">
        <v>100</v>
      </c>
      <c r="F523" s="5">
        <v>162</v>
      </c>
      <c r="G523" s="5">
        <v>165</v>
      </c>
      <c r="H523" s="5">
        <v>79</v>
      </c>
      <c r="I523" s="5">
        <v>45</v>
      </c>
      <c r="J523" s="5">
        <v>16</v>
      </c>
      <c r="K523" s="5">
        <v>1</v>
      </c>
      <c r="L523" s="5">
        <v>2</v>
      </c>
    </row>
    <row r="524" spans="1:12" ht="26" hidden="1">
      <c r="A524" s="20" t="s">
        <v>198</v>
      </c>
      <c r="B524" s="5">
        <v>1409</v>
      </c>
      <c r="C524" s="6">
        <f t="shared" si="4"/>
        <v>2.2401832877235409E-3</v>
      </c>
      <c r="D524" s="19">
        <f t="shared" si="5"/>
        <v>1408</v>
      </c>
      <c r="E524" s="5">
        <v>544</v>
      </c>
      <c r="F524" s="5">
        <v>593</v>
      </c>
      <c r="G524" s="5">
        <v>177</v>
      </c>
      <c r="H524" s="5">
        <v>44</v>
      </c>
      <c r="I524" s="5">
        <v>20</v>
      </c>
      <c r="J524" s="5">
        <v>19</v>
      </c>
      <c r="K524" s="5">
        <v>10</v>
      </c>
      <c r="L524" s="5">
        <v>1</v>
      </c>
    </row>
    <row r="525" spans="1:12" ht="26">
      <c r="A525" s="20" t="s">
        <v>199</v>
      </c>
      <c r="B525" s="5">
        <v>10481</v>
      </c>
      <c r="C525" s="6">
        <f t="shared" si="4"/>
        <v>1.6670909438044931E-2</v>
      </c>
      <c r="D525" s="19">
        <f t="shared" si="5"/>
        <v>10478</v>
      </c>
      <c r="E525" s="5">
        <v>4621</v>
      </c>
      <c r="F525" s="5">
        <v>4072</v>
      </c>
      <c r="G525" s="5">
        <v>1300</v>
      </c>
      <c r="H525" s="5">
        <v>310</v>
      </c>
      <c r="I525" s="5">
        <v>105</v>
      </c>
      <c r="J525" s="5">
        <v>53</v>
      </c>
      <c r="K525" s="5">
        <v>11</v>
      </c>
      <c r="L525" s="5">
        <v>6</v>
      </c>
    </row>
    <row r="526" spans="1:12" ht="26" hidden="1">
      <c r="A526" s="20" t="s">
        <v>200</v>
      </c>
      <c r="B526" s="5">
        <v>3839</v>
      </c>
      <c r="C526" s="6">
        <f t="shared" si="4"/>
        <v>6.0952714312989247E-3</v>
      </c>
      <c r="D526" s="19">
        <f t="shared" si="5"/>
        <v>3831</v>
      </c>
      <c r="E526" s="5">
        <v>1861</v>
      </c>
      <c r="F526" s="5">
        <v>1442</v>
      </c>
      <c r="G526" s="5">
        <v>376</v>
      </c>
      <c r="H526" s="5">
        <v>79</v>
      </c>
      <c r="I526" s="5">
        <v>34</v>
      </c>
      <c r="J526" s="5">
        <v>26</v>
      </c>
      <c r="K526" s="5">
        <v>10</v>
      </c>
      <c r="L526" s="5">
        <v>3</v>
      </c>
    </row>
    <row r="527" spans="1:12" ht="26">
      <c r="A527" s="20" t="s">
        <v>201</v>
      </c>
      <c r="B527" s="5">
        <v>22109</v>
      </c>
      <c r="C527" s="6">
        <f t="shared" si="4"/>
        <v>3.5122191815694009E-2</v>
      </c>
      <c r="D527" s="19">
        <f t="shared" si="5"/>
        <v>22075</v>
      </c>
      <c r="E527" s="5">
        <v>9516</v>
      </c>
      <c r="F527" s="5">
        <v>8150</v>
      </c>
      <c r="G527" s="5">
        <v>3253</v>
      </c>
      <c r="H527" s="5">
        <v>763</v>
      </c>
      <c r="I527" s="5">
        <v>228</v>
      </c>
      <c r="J527" s="5">
        <v>111</v>
      </c>
      <c r="K527" s="5">
        <v>28</v>
      </c>
      <c r="L527" s="5">
        <v>26</v>
      </c>
    </row>
    <row r="528" spans="1:12" ht="13">
      <c r="A528" s="20" t="s">
        <v>202</v>
      </c>
      <c r="B528" s="5">
        <v>7184</v>
      </c>
      <c r="C528" s="6">
        <f t="shared" si="4"/>
        <v>1.1430026093043976E-2</v>
      </c>
      <c r="D528" s="19">
        <f t="shared" si="5"/>
        <v>7184</v>
      </c>
      <c r="E528" s="5">
        <v>5783</v>
      </c>
      <c r="F528" s="5">
        <v>1135</v>
      </c>
      <c r="G528" s="5">
        <v>214</v>
      </c>
      <c r="H528" s="5">
        <v>40</v>
      </c>
      <c r="I528" s="5">
        <v>9</v>
      </c>
      <c r="J528" s="5">
        <v>3</v>
      </c>
      <c r="K528" s="5">
        <v>0</v>
      </c>
      <c r="L528" s="5">
        <v>0</v>
      </c>
    </row>
    <row r="529" spans="1:12" ht="26" hidden="1">
      <c r="A529" s="20" t="s">
        <v>203</v>
      </c>
      <c r="B529" s="5">
        <v>1744</v>
      </c>
      <c r="C529" s="6">
        <f t="shared" si="4"/>
        <v>2.768408324317444E-3</v>
      </c>
      <c r="D529" s="19">
        <f t="shared" si="5"/>
        <v>1740</v>
      </c>
      <c r="E529" s="5">
        <v>1123</v>
      </c>
      <c r="F529" s="5">
        <v>387</v>
      </c>
      <c r="G529" s="5">
        <v>117</v>
      </c>
      <c r="H529" s="5">
        <v>39</v>
      </c>
      <c r="I529" s="5">
        <v>26</v>
      </c>
      <c r="J529" s="5">
        <v>30</v>
      </c>
      <c r="K529" s="5">
        <v>12</v>
      </c>
      <c r="L529" s="5">
        <v>6</v>
      </c>
    </row>
    <row r="530" spans="1:12" ht="13">
      <c r="A530" s="20" t="s">
        <v>204</v>
      </c>
      <c r="B530" s="5">
        <v>33561</v>
      </c>
      <c r="C530" s="6">
        <f t="shared" si="4"/>
        <v>5.3345955578183668E-2</v>
      </c>
      <c r="D530" s="19">
        <f t="shared" si="5"/>
        <v>33529</v>
      </c>
      <c r="E530" s="5">
        <v>23147</v>
      </c>
      <c r="F530" s="5">
        <v>7221</v>
      </c>
      <c r="G530" s="5">
        <v>1542</v>
      </c>
      <c r="H530" s="5">
        <v>721</v>
      </c>
      <c r="I530" s="5">
        <v>493</v>
      </c>
      <c r="J530" s="5">
        <v>316</v>
      </c>
      <c r="K530" s="5">
        <v>60</v>
      </c>
      <c r="L530" s="5">
        <v>29</v>
      </c>
    </row>
    <row r="531" spans="1:12" ht="13">
      <c r="A531" s="20" t="s">
        <v>205</v>
      </c>
      <c r="B531" s="5">
        <v>2</v>
      </c>
      <c r="C531" s="6">
        <f t="shared" si="4"/>
        <v>1.5910392668491059E-6</v>
      </c>
      <c r="D531" s="19">
        <f t="shared" si="5"/>
        <v>1</v>
      </c>
      <c r="E531" s="5">
        <v>1</v>
      </c>
      <c r="F531" s="5">
        <v>0</v>
      </c>
      <c r="G531" s="5">
        <v>0</v>
      </c>
      <c r="H531" s="5">
        <v>0</v>
      </c>
      <c r="I531" s="5">
        <v>0</v>
      </c>
      <c r="J531" s="5">
        <v>0</v>
      </c>
      <c r="K531" s="5">
        <v>0</v>
      </c>
      <c r="L531" s="5">
        <v>0</v>
      </c>
    </row>
    <row r="532" spans="1:12" ht="13">
      <c r="A532" s="20" t="s">
        <v>206</v>
      </c>
      <c r="B532" s="5">
        <v>12</v>
      </c>
      <c r="C532" s="6">
        <f t="shared" si="4"/>
        <v>1.7501431935340164E-5</v>
      </c>
      <c r="D532" s="19">
        <f t="shared" si="5"/>
        <v>11</v>
      </c>
      <c r="E532" s="5">
        <v>4</v>
      </c>
      <c r="F532" s="5">
        <v>6</v>
      </c>
      <c r="G532" s="5">
        <v>0</v>
      </c>
      <c r="H532" s="5">
        <v>0</v>
      </c>
      <c r="I532" s="5">
        <v>1</v>
      </c>
      <c r="J532" s="5">
        <v>0</v>
      </c>
      <c r="K532" s="5">
        <v>0</v>
      </c>
      <c r="L532" s="5">
        <v>0</v>
      </c>
    </row>
    <row r="533" spans="1:12" ht="13">
      <c r="A533" s="20" t="s">
        <v>207</v>
      </c>
      <c r="B533" s="5">
        <v>12121</v>
      </c>
      <c r="C533" s="6">
        <f t="shared" si="4"/>
        <v>1.9259530325208427E-2</v>
      </c>
      <c r="D533" s="19">
        <f t="shared" si="5"/>
        <v>12105</v>
      </c>
      <c r="E533" s="5">
        <v>8785</v>
      </c>
      <c r="F533" s="5">
        <v>2734</v>
      </c>
      <c r="G533" s="5">
        <v>331</v>
      </c>
      <c r="H533" s="5">
        <v>101</v>
      </c>
      <c r="I533" s="5">
        <v>69</v>
      </c>
      <c r="J533" s="5">
        <v>62</v>
      </c>
      <c r="K533" s="5">
        <v>15</v>
      </c>
      <c r="L533" s="5">
        <v>8</v>
      </c>
    </row>
    <row r="534" spans="1:12" ht="13">
      <c r="A534" s="20" t="s">
        <v>208</v>
      </c>
      <c r="B534" s="5">
        <v>21422</v>
      </c>
      <c r="C534" s="6">
        <f t="shared" si="4"/>
        <v>3.4060968624705659E-2</v>
      </c>
      <c r="D534" s="19">
        <f t="shared" si="5"/>
        <v>21408</v>
      </c>
      <c r="E534" s="5">
        <v>14354</v>
      </c>
      <c r="F534" s="5">
        <v>4480</v>
      </c>
      <c r="G534" s="5">
        <v>1211</v>
      </c>
      <c r="H534" s="5">
        <v>620</v>
      </c>
      <c r="I534" s="5">
        <v>423</v>
      </c>
      <c r="J534" s="5">
        <v>254</v>
      </c>
      <c r="K534" s="5">
        <v>45</v>
      </c>
      <c r="L534" s="5">
        <v>21</v>
      </c>
    </row>
    <row r="535" spans="1:12" ht="13">
      <c r="A535" s="20" t="s">
        <v>209</v>
      </c>
      <c r="B535" s="5">
        <v>4</v>
      </c>
      <c r="C535" s="6">
        <f t="shared" si="4"/>
        <v>6.3641570673964235E-6</v>
      </c>
      <c r="D535" s="19">
        <f t="shared" si="5"/>
        <v>4</v>
      </c>
      <c r="E535" s="5">
        <v>3</v>
      </c>
      <c r="F535" s="5">
        <v>1</v>
      </c>
      <c r="G535" s="5">
        <v>0</v>
      </c>
      <c r="H535" s="5">
        <v>0</v>
      </c>
      <c r="I535" s="5">
        <v>0</v>
      </c>
      <c r="J535" s="5">
        <v>0</v>
      </c>
      <c r="K535" s="5">
        <v>0</v>
      </c>
      <c r="L535" s="5">
        <v>0</v>
      </c>
    </row>
    <row r="536" spans="1:12" ht="13">
      <c r="A536" s="20" t="s">
        <v>210</v>
      </c>
      <c r="B536" s="5">
        <v>126</v>
      </c>
      <c r="C536" s="6">
        <f t="shared" si="4"/>
        <v>2.0047094762298733E-4</v>
      </c>
      <c r="D536" s="19">
        <f t="shared" si="5"/>
        <v>126</v>
      </c>
      <c r="E536" s="5">
        <v>30</v>
      </c>
      <c r="F536" s="5">
        <v>58</v>
      </c>
      <c r="G536" s="5">
        <v>23</v>
      </c>
      <c r="H536" s="5">
        <v>6</v>
      </c>
      <c r="I536" s="5">
        <v>4</v>
      </c>
      <c r="J536" s="5">
        <v>3</v>
      </c>
      <c r="K536" s="5">
        <v>2</v>
      </c>
      <c r="L536" s="5">
        <v>0</v>
      </c>
    </row>
    <row r="537" spans="1:12" ht="13" hidden="1">
      <c r="A537" s="20" t="s">
        <v>211</v>
      </c>
      <c r="B537" s="5">
        <v>107</v>
      </c>
      <c r="C537" s="6">
        <f t="shared" ref="C537:C600" si="6">D537/$D$345</f>
        <v>1.7024120155285433E-4</v>
      </c>
      <c r="D537" s="19">
        <f t="shared" si="5"/>
        <v>107</v>
      </c>
      <c r="E537" s="5">
        <v>25</v>
      </c>
      <c r="F537" s="5">
        <v>53</v>
      </c>
      <c r="G537" s="5">
        <v>21</v>
      </c>
      <c r="H537" s="5">
        <v>5</v>
      </c>
      <c r="I537" s="5">
        <v>2</v>
      </c>
      <c r="J537" s="5">
        <v>1</v>
      </c>
      <c r="K537" s="5">
        <v>0</v>
      </c>
      <c r="L537" s="5">
        <v>0</v>
      </c>
    </row>
    <row r="538" spans="1:12" ht="13" hidden="1">
      <c r="A538" s="20" t="s">
        <v>212</v>
      </c>
      <c r="B538" s="5">
        <v>9</v>
      </c>
      <c r="C538" s="6">
        <f t="shared" si="6"/>
        <v>1.4319353401641953E-5</v>
      </c>
      <c r="D538" s="19">
        <f t="shared" ref="D538:D601" si="7">SUM(E538:L538)</f>
        <v>9</v>
      </c>
      <c r="E538" s="5">
        <v>4</v>
      </c>
      <c r="F538" s="5">
        <v>2</v>
      </c>
      <c r="G538" s="5">
        <v>0</v>
      </c>
      <c r="H538" s="5">
        <v>0</v>
      </c>
      <c r="I538" s="5">
        <v>0</v>
      </c>
      <c r="J538" s="5">
        <v>1</v>
      </c>
      <c r="K538" s="5">
        <v>2</v>
      </c>
      <c r="L538" s="5">
        <v>0</v>
      </c>
    </row>
    <row r="539" spans="1:12" ht="13" hidden="1">
      <c r="A539" s="20" t="s">
        <v>213</v>
      </c>
      <c r="B539" s="5">
        <v>8</v>
      </c>
      <c r="C539" s="6">
        <f t="shared" si="6"/>
        <v>1.2728314134792847E-5</v>
      </c>
      <c r="D539" s="19">
        <f t="shared" si="7"/>
        <v>8</v>
      </c>
      <c r="E539" s="5">
        <v>1</v>
      </c>
      <c r="F539" s="5">
        <v>3</v>
      </c>
      <c r="G539" s="5">
        <v>2</v>
      </c>
      <c r="H539" s="5">
        <v>0</v>
      </c>
      <c r="I539" s="5">
        <v>1</v>
      </c>
      <c r="J539" s="5">
        <v>1</v>
      </c>
      <c r="K539" s="5">
        <v>0</v>
      </c>
      <c r="L539" s="5">
        <v>0</v>
      </c>
    </row>
    <row r="540" spans="1:12" ht="13" hidden="1">
      <c r="A540" s="20" t="s">
        <v>214</v>
      </c>
      <c r="B540" s="5">
        <v>2</v>
      </c>
      <c r="C540" s="6">
        <f t="shared" si="6"/>
        <v>3.1820785336982117E-6</v>
      </c>
      <c r="D540" s="19">
        <f t="shared" si="7"/>
        <v>2</v>
      </c>
      <c r="E540" s="5">
        <v>0</v>
      </c>
      <c r="F540" s="5">
        <v>0</v>
      </c>
      <c r="G540" s="5">
        <v>0</v>
      </c>
      <c r="H540" s="5">
        <v>1</v>
      </c>
      <c r="I540" s="5">
        <v>1</v>
      </c>
      <c r="J540" s="5">
        <v>0</v>
      </c>
      <c r="K540" s="5">
        <v>0</v>
      </c>
      <c r="L540" s="5">
        <v>0</v>
      </c>
    </row>
    <row r="541" spans="1:12" ht="13">
      <c r="A541" s="20" t="s">
        <v>215</v>
      </c>
      <c r="B541" s="5">
        <v>36</v>
      </c>
      <c r="C541" s="6">
        <f t="shared" si="6"/>
        <v>5.5686374339718703E-5</v>
      </c>
      <c r="D541" s="19">
        <f t="shared" si="7"/>
        <v>35</v>
      </c>
      <c r="E541" s="5">
        <v>10</v>
      </c>
      <c r="F541" s="5">
        <v>8</v>
      </c>
      <c r="G541" s="5">
        <v>3</v>
      </c>
      <c r="H541" s="5">
        <v>4</v>
      </c>
      <c r="I541" s="5">
        <v>5</v>
      </c>
      <c r="J541" s="5">
        <v>3</v>
      </c>
      <c r="K541" s="5">
        <v>2</v>
      </c>
      <c r="L541" s="5">
        <v>0</v>
      </c>
    </row>
    <row r="542" spans="1:12" ht="13" hidden="1">
      <c r="A542" s="20" t="s">
        <v>216</v>
      </c>
      <c r="B542" s="5">
        <v>31</v>
      </c>
      <c r="C542" s="6">
        <f t="shared" si="6"/>
        <v>4.7731178005473176E-5</v>
      </c>
      <c r="D542" s="19">
        <f t="shared" si="7"/>
        <v>30</v>
      </c>
      <c r="E542" s="5">
        <v>10</v>
      </c>
      <c r="F542" s="5">
        <v>7</v>
      </c>
      <c r="G542" s="5">
        <v>2</v>
      </c>
      <c r="H542" s="5">
        <v>3</v>
      </c>
      <c r="I542" s="5">
        <v>5</v>
      </c>
      <c r="J542" s="5">
        <v>1</v>
      </c>
      <c r="K542" s="5">
        <v>2</v>
      </c>
      <c r="L542" s="5">
        <v>0</v>
      </c>
    </row>
    <row r="543" spans="1:12" ht="13" hidden="1">
      <c r="A543" s="20" t="s">
        <v>217</v>
      </c>
      <c r="B543" s="5">
        <v>5</v>
      </c>
      <c r="C543" s="6">
        <f t="shared" si="6"/>
        <v>7.9551963342455287E-6</v>
      </c>
      <c r="D543" s="19">
        <f t="shared" si="7"/>
        <v>5</v>
      </c>
      <c r="E543" s="5">
        <v>0</v>
      </c>
      <c r="F543" s="5">
        <v>1</v>
      </c>
      <c r="G543" s="5">
        <v>1</v>
      </c>
      <c r="H543" s="5">
        <v>1</v>
      </c>
      <c r="I543" s="5">
        <v>0</v>
      </c>
      <c r="J543" s="5">
        <v>2</v>
      </c>
      <c r="K543" s="5">
        <v>0</v>
      </c>
      <c r="L543" s="5">
        <v>0</v>
      </c>
    </row>
    <row r="544" spans="1:12" ht="13">
      <c r="A544" s="20" t="s">
        <v>218</v>
      </c>
      <c r="B544" s="5">
        <v>3592</v>
      </c>
      <c r="C544" s="6">
        <f t="shared" si="6"/>
        <v>5.6625087507159678E-3</v>
      </c>
      <c r="D544" s="19">
        <f t="shared" si="7"/>
        <v>3559</v>
      </c>
      <c r="E544" s="5">
        <v>1088</v>
      </c>
      <c r="F544" s="5">
        <v>1161</v>
      </c>
      <c r="G544" s="5">
        <v>547</v>
      </c>
      <c r="H544" s="5">
        <v>295</v>
      </c>
      <c r="I544" s="5">
        <v>241</v>
      </c>
      <c r="J544" s="5">
        <v>148</v>
      </c>
      <c r="K544" s="5">
        <v>49</v>
      </c>
      <c r="L544" s="5">
        <v>30</v>
      </c>
    </row>
    <row r="545" spans="1:12" ht="13" hidden="1">
      <c r="A545" s="20" t="s">
        <v>219</v>
      </c>
      <c r="B545" s="5">
        <v>426</v>
      </c>
      <c r="C545" s="6">
        <f t="shared" si="6"/>
        <v>6.7619168841087001E-4</v>
      </c>
      <c r="D545" s="19">
        <f t="shared" si="7"/>
        <v>425</v>
      </c>
      <c r="E545" s="5">
        <v>126</v>
      </c>
      <c r="F545" s="5">
        <v>109</v>
      </c>
      <c r="G545" s="5">
        <v>62</v>
      </c>
      <c r="H545" s="5">
        <v>45</v>
      </c>
      <c r="I545" s="5">
        <v>27</v>
      </c>
      <c r="J545" s="5">
        <v>37</v>
      </c>
      <c r="K545" s="5">
        <v>11</v>
      </c>
      <c r="L545" s="5">
        <v>8</v>
      </c>
    </row>
    <row r="546" spans="1:12" ht="13" hidden="1">
      <c r="A546" s="20" t="s">
        <v>220</v>
      </c>
      <c r="B546" s="5">
        <v>3166</v>
      </c>
      <c r="C546" s="6">
        <f t="shared" si="6"/>
        <v>4.9863170623050974E-3</v>
      </c>
      <c r="D546" s="19">
        <f t="shared" si="7"/>
        <v>3134</v>
      </c>
      <c r="E546" s="5">
        <v>962</v>
      </c>
      <c r="F546" s="5">
        <v>1052</v>
      </c>
      <c r="G546" s="5">
        <v>485</v>
      </c>
      <c r="H546" s="5">
        <v>250</v>
      </c>
      <c r="I546" s="5">
        <v>214</v>
      </c>
      <c r="J546" s="5">
        <v>111</v>
      </c>
      <c r="K546" s="5">
        <v>38</v>
      </c>
      <c r="L546" s="5">
        <v>22</v>
      </c>
    </row>
    <row r="547" spans="1:12" ht="13">
      <c r="A547" s="20" t="s">
        <v>221</v>
      </c>
      <c r="B547" s="5">
        <v>4773</v>
      </c>
      <c r="C547" s="6">
        <f t="shared" si="6"/>
        <v>7.5876662636033855E-3</v>
      </c>
      <c r="D547" s="19">
        <f t="shared" si="7"/>
        <v>4769</v>
      </c>
      <c r="E547" s="5">
        <v>4155</v>
      </c>
      <c r="F547" s="5">
        <v>315</v>
      </c>
      <c r="G547" s="5">
        <v>105</v>
      </c>
      <c r="H547" s="5">
        <v>71</v>
      </c>
      <c r="I547" s="5">
        <v>91</v>
      </c>
      <c r="J547" s="5">
        <v>25</v>
      </c>
      <c r="K547" s="5">
        <v>4</v>
      </c>
      <c r="L547" s="5">
        <v>3</v>
      </c>
    </row>
    <row r="548" spans="1:12" ht="26" hidden="1">
      <c r="A548" s="20" t="s">
        <v>222</v>
      </c>
      <c r="B548" s="5">
        <v>0</v>
      </c>
      <c r="C548" s="6">
        <f t="shared" si="6"/>
        <v>0</v>
      </c>
      <c r="D548" s="19">
        <f t="shared" si="7"/>
        <v>0</v>
      </c>
      <c r="E548" s="5">
        <v>0</v>
      </c>
      <c r="F548" s="5">
        <v>0</v>
      </c>
      <c r="G548" s="5">
        <v>0</v>
      </c>
      <c r="H548" s="5">
        <v>0</v>
      </c>
      <c r="I548" s="5">
        <v>0</v>
      </c>
      <c r="J548" s="5">
        <v>0</v>
      </c>
      <c r="K548" s="5">
        <v>0</v>
      </c>
      <c r="L548" s="5">
        <v>0</v>
      </c>
    </row>
    <row r="549" spans="1:12" ht="13" hidden="1">
      <c r="A549" s="20" t="s">
        <v>223</v>
      </c>
      <c r="B549" s="5">
        <v>4773</v>
      </c>
      <c r="C549" s="6">
        <f t="shared" si="6"/>
        <v>7.5876662636033855E-3</v>
      </c>
      <c r="D549" s="19">
        <f t="shared" si="7"/>
        <v>4769</v>
      </c>
      <c r="E549" s="5">
        <v>4155</v>
      </c>
      <c r="F549" s="5">
        <v>315</v>
      </c>
      <c r="G549" s="5">
        <v>105</v>
      </c>
      <c r="H549" s="5">
        <v>71</v>
      </c>
      <c r="I549" s="5">
        <v>91</v>
      </c>
      <c r="J549" s="5">
        <v>25</v>
      </c>
      <c r="K549" s="5">
        <v>4</v>
      </c>
      <c r="L549" s="5">
        <v>3</v>
      </c>
    </row>
    <row r="550" spans="1:12" ht="13">
      <c r="A550" s="20" t="s">
        <v>224</v>
      </c>
      <c r="B550" s="5">
        <v>4453</v>
      </c>
      <c r="C550" s="6">
        <f t="shared" si="6"/>
        <v>7.0323935594730474E-3</v>
      </c>
      <c r="D550" s="19">
        <f t="shared" si="7"/>
        <v>4420</v>
      </c>
      <c r="E550" s="5">
        <v>1576</v>
      </c>
      <c r="F550" s="5">
        <v>1225</v>
      </c>
      <c r="G550" s="5">
        <v>560</v>
      </c>
      <c r="H550" s="5">
        <v>442</v>
      </c>
      <c r="I550" s="5">
        <v>297</v>
      </c>
      <c r="J550" s="5">
        <v>205</v>
      </c>
      <c r="K550" s="5">
        <v>63</v>
      </c>
      <c r="L550" s="5">
        <v>52</v>
      </c>
    </row>
    <row r="551" spans="1:12" ht="13" hidden="1">
      <c r="A551" s="20" t="s">
        <v>225</v>
      </c>
      <c r="B551" s="5">
        <v>1983</v>
      </c>
      <c r="C551" s="6">
        <f t="shared" si="6"/>
        <v>3.1120728059568512E-3</v>
      </c>
      <c r="D551" s="19">
        <f t="shared" si="7"/>
        <v>1956</v>
      </c>
      <c r="E551" s="5">
        <v>378</v>
      </c>
      <c r="F551" s="5">
        <v>501</v>
      </c>
      <c r="G551" s="5">
        <v>339</v>
      </c>
      <c r="H551" s="5">
        <v>282</v>
      </c>
      <c r="I551" s="5">
        <v>196</v>
      </c>
      <c r="J551" s="5">
        <v>162</v>
      </c>
      <c r="K551" s="5">
        <v>51</v>
      </c>
      <c r="L551" s="5">
        <v>47</v>
      </c>
    </row>
    <row r="552" spans="1:12" ht="13" hidden="1">
      <c r="A552" s="20" t="s">
        <v>226</v>
      </c>
      <c r="B552" s="5">
        <v>2073</v>
      </c>
      <c r="C552" s="6">
        <f t="shared" si="6"/>
        <v>3.2934512823776492E-3</v>
      </c>
      <c r="D552" s="19">
        <f t="shared" si="7"/>
        <v>2070</v>
      </c>
      <c r="E552" s="5">
        <v>1157</v>
      </c>
      <c r="F552" s="5">
        <v>593</v>
      </c>
      <c r="G552" s="5">
        <v>147</v>
      </c>
      <c r="H552" s="5">
        <v>92</v>
      </c>
      <c r="I552" s="5">
        <v>54</v>
      </c>
      <c r="J552" s="5">
        <v>19</v>
      </c>
      <c r="K552" s="5">
        <v>7</v>
      </c>
      <c r="L552" s="5">
        <v>1</v>
      </c>
    </row>
    <row r="553" spans="1:12" ht="13" hidden="1">
      <c r="A553" s="20" t="s">
        <v>227</v>
      </c>
      <c r="B553" s="5">
        <v>303</v>
      </c>
      <c r="C553" s="6">
        <f t="shared" si="6"/>
        <v>4.7731178005473176E-4</v>
      </c>
      <c r="D553" s="19">
        <f t="shared" si="7"/>
        <v>300</v>
      </c>
      <c r="E553" s="5">
        <v>27</v>
      </c>
      <c r="F553" s="5">
        <v>106</v>
      </c>
      <c r="G553" s="5">
        <v>51</v>
      </c>
      <c r="H553" s="5">
        <v>49</v>
      </c>
      <c r="I553" s="5">
        <v>44</v>
      </c>
      <c r="J553" s="5">
        <v>15</v>
      </c>
      <c r="K553" s="5">
        <v>4</v>
      </c>
      <c r="L553" s="5">
        <v>4</v>
      </c>
    </row>
    <row r="554" spans="1:12" ht="13" hidden="1">
      <c r="A554" s="20" t="s">
        <v>228</v>
      </c>
      <c r="B554" s="5">
        <v>94</v>
      </c>
      <c r="C554" s="6">
        <f t="shared" si="6"/>
        <v>1.4955769108381594E-4</v>
      </c>
      <c r="D554" s="19">
        <f t="shared" si="7"/>
        <v>94</v>
      </c>
      <c r="E554" s="5">
        <v>14</v>
      </c>
      <c r="F554" s="5">
        <v>25</v>
      </c>
      <c r="G554" s="5">
        <v>23</v>
      </c>
      <c r="H554" s="5">
        <v>19</v>
      </c>
      <c r="I554" s="5">
        <v>3</v>
      </c>
      <c r="J554" s="5">
        <v>9</v>
      </c>
      <c r="K554" s="5">
        <v>1</v>
      </c>
      <c r="L554" s="5">
        <v>0</v>
      </c>
    </row>
    <row r="555" spans="1:12" ht="13">
      <c r="A555" s="20" t="s">
        <v>229</v>
      </c>
      <c r="B555" s="5">
        <v>40509</v>
      </c>
      <c r="C555" s="6">
        <f t="shared" si="6"/>
        <v>6.4386177050849619E-2</v>
      </c>
      <c r="D555" s="19">
        <f t="shared" si="7"/>
        <v>40468</v>
      </c>
      <c r="E555" s="5">
        <v>12343</v>
      </c>
      <c r="F555" s="5">
        <v>15829</v>
      </c>
      <c r="G555" s="5">
        <v>8212</v>
      </c>
      <c r="H555" s="5">
        <v>2365</v>
      </c>
      <c r="I555" s="5">
        <v>1023</v>
      </c>
      <c r="J555" s="5">
        <v>534</v>
      </c>
      <c r="K555" s="5">
        <v>108</v>
      </c>
      <c r="L555" s="5">
        <v>54</v>
      </c>
    </row>
    <row r="556" spans="1:12" ht="13">
      <c r="A556" s="20" t="s">
        <v>230</v>
      </c>
      <c r="B556" s="5">
        <v>13790</v>
      </c>
      <c r="C556" s="6">
        <f t="shared" si="6"/>
        <v>2.1914974861579582E-2</v>
      </c>
      <c r="D556" s="19">
        <f t="shared" si="7"/>
        <v>13774</v>
      </c>
      <c r="E556" s="5">
        <v>2063</v>
      </c>
      <c r="F556" s="5">
        <v>5136</v>
      </c>
      <c r="G556" s="5">
        <v>4120</v>
      </c>
      <c r="H556" s="5">
        <v>1371</v>
      </c>
      <c r="I556" s="5">
        <v>638</v>
      </c>
      <c r="J556" s="5">
        <v>349</v>
      </c>
      <c r="K556" s="5">
        <v>67</v>
      </c>
      <c r="L556" s="5">
        <v>30</v>
      </c>
    </row>
    <row r="557" spans="1:12" ht="26" hidden="1">
      <c r="A557" s="20" t="s">
        <v>231</v>
      </c>
      <c r="B557" s="5">
        <v>2846</v>
      </c>
      <c r="C557" s="6">
        <f t="shared" si="6"/>
        <v>4.4915038503150258E-3</v>
      </c>
      <c r="D557" s="19">
        <f t="shared" si="7"/>
        <v>2823</v>
      </c>
      <c r="E557" s="5">
        <v>985</v>
      </c>
      <c r="F557" s="5">
        <v>993</v>
      </c>
      <c r="G557" s="5">
        <v>494</v>
      </c>
      <c r="H557" s="5">
        <v>159</v>
      </c>
      <c r="I557" s="5">
        <v>84</v>
      </c>
      <c r="J557" s="5">
        <v>67</v>
      </c>
      <c r="K557" s="5">
        <v>24</v>
      </c>
      <c r="L557" s="5">
        <v>17</v>
      </c>
    </row>
    <row r="558" spans="1:12" ht="13">
      <c r="A558" s="20" t="s">
        <v>232</v>
      </c>
      <c r="B558" s="5">
        <v>23873</v>
      </c>
      <c r="C558" s="6">
        <f t="shared" si="6"/>
        <v>3.7979698338955002E-2</v>
      </c>
      <c r="D558" s="19">
        <f t="shared" si="7"/>
        <v>23871</v>
      </c>
      <c r="E558" s="5">
        <v>9295</v>
      </c>
      <c r="F558" s="5">
        <v>9700</v>
      </c>
      <c r="G558" s="5">
        <v>3598</v>
      </c>
      <c r="H558" s="5">
        <v>835</v>
      </c>
      <c r="I558" s="5">
        <v>301</v>
      </c>
      <c r="J558" s="5">
        <v>118</v>
      </c>
      <c r="K558" s="5">
        <v>17</v>
      </c>
      <c r="L558" s="5">
        <v>7</v>
      </c>
    </row>
    <row r="559" spans="1:12" ht="13">
      <c r="A559" s="20" t="s">
        <v>233</v>
      </c>
      <c r="B559" s="5">
        <v>2253</v>
      </c>
      <c r="C559" s="6">
        <f t="shared" si="6"/>
        <v>3.5671100362756952E-3</v>
      </c>
      <c r="D559" s="19">
        <f t="shared" si="7"/>
        <v>2242</v>
      </c>
      <c r="E559" s="5">
        <v>1334</v>
      </c>
      <c r="F559" s="5">
        <v>519</v>
      </c>
      <c r="G559" s="5">
        <v>164</v>
      </c>
      <c r="H559" s="5">
        <v>89</v>
      </c>
      <c r="I559" s="5">
        <v>77</v>
      </c>
      <c r="J559" s="5">
        <v>35</v>
      </c>
      <c r="K559" s="5">
        <v>16</v>
      </c>
      <c r="L559" s="5">
        <v>8</v>
      </c>
    </row>
    <row r="560" spans="1:12" ht="13" hidden="1">
      <c r="A560" s="20" t="s">
        <v>234</v>
      </c>
      <c r="B560" s="5">
        <v>1594</v>
      </c>
      <c r="C560" s="6">
        <f t="shared" si="6"/>
        <v>2.5249793164895309E-3</v>
      </c>
      <c r="D560" s="19">
        <f t="shared" si="7"/>
        <v>1587</v>
      </c>
      <c r="E560" s="5">
        <v>810</v>
      </c>
      <c r="F560" s="5">
        <v>447</v>
      </c>
      <c r="G560" s="5">
        <v>153</v>
      </c>
      <c r="H560" s="5">
        <v>76</v>
      </c>
      <c r="I560" s="5">
        <v>64</v>
      </c>
      <c r="J560" s="5">
        <v>18</v>
      </c>
      <c r="K560" s="5">
        <v>12</v>
      </c>
      <c r="L560" s="5">
        <v>7</v>
      </c>
    </row>
    <row r="561" spans="1:12" ht="13" hidden="1">
      <c r="A561" s="20" t="s">
        <v>235</v>
      </c>
      <c r="B561" s="5">
        <v>659</v>
      </c>
      <c r="C561" s="6">
        <f t="shared" si="6"/>
        <v>1.0421307197861643E-3</v>
      </c>
      <c r="D561" s="19">
        <f t="shared" si="7"/>
        <v>655</v>
      </c>
      <c r="E561" s="5">
        <v>524</v>
      </c>
      <c r="F561" s="5">
        <v>72</v>
      </c>
      <c r="G561" s="5">
        <v>11</v>
      </c>
      <c r="H561" s="5">
        <v>13</v>
      </c>
      <c r="I561" s="5">
        <v>13</v>
      </c>
      <c r="J561" s="5">
        <v>17</v>
      </c>
      <c r="K561" s="5">
        <v>4</v>
      </c>
      <c r="L561" s="5">
        <v>1</v>
      </c>
    </row>
    <row r="562" spans="1:12" ht="26">
      <c r="A562" s="20" t="s">
        <v>236</v>
      </c>
      <c r="B562" s="5">
        <v>1675</v>
      </c>
      <c r="C562" s="6">
        <f t="shared" si="6"/>
        <v>2.6363520651689685E-3</v>
      </c>
      <c r="D562" s="19">
        <f t="shared" si="7"/>
        <v>1657</v>
      </c>
      <c r="E562" s="5">
        <v>917</v>
      </c>
      <c r="F562" s="5">
        <v>440</v>
      </c>
      <c r="G562" s="5">
        <v>125</v>
      </c>
      <c r="H562" s="5">
        <v>64</v>
      </c>
      <c r="I562" s="5">
        <v>53</v>
      </c>
      <c r="J562" s="5">
        <v>35</v>
      </c>
      <c r="K562" s="5">
        <v>13</v>
      </c>
      <c r="L562" s="5">
        <v>10</v>
      </c>
    </row>
    <row r="563" spans="1:12" ht="26" hidden="1">
      <c r="A563" s="20" t="s">
        <v>237</v>
      </c>
      <c r="B563" s="5">
        <v>1620</v>
      </c>
      <c r="C563" s="6">
        <f t="shared" si="6"/>
        <v>2.5488449054922677E-3</v>
      </c>
      <c r="D563" s="19">
        <f t="shared" si="7"/>
        <v>1602</v>
      </c>
      <c r="E563" s="5">
        <v>907</v>
      </c>
      <c r="F563" s="5">
        <v>413</v>
      </c>
      <c r="G563" s="5">
        <v>118</v>
      </c>
      <c r="H563" s="5">
        <v>62</v>
      </c>
      <c r="I563" s="5">
        <v>48</v>
      </c>
      <c r="J563" s="5">
        <v>33</v>
      </c>
      <c r="K563" s="5">
        <v>13</v>
      </c>
      <c r="L563" s="5">
        <v>8</v>
      </c>
    </row>
    <row r="564" spans="1:12" ht="13" hidden="1">
      <c r="A564" s="20" t="s">
        <v>238</v>
      </c>
      <c r="B564" s="5">
        <v>55</v>
      </c>
      <c r="C564" s="6">
        <f t="shared" si="6"/>
        <v>8.7507159676700818E-5</v>
      </c>
      <c r="D564" s="19">
        <f t="shared" si="7"/>
        <v>55</v>
      </c>
      <c r="E564" s="5">
        <v>10</v>
      </c>
      <c r="F564" s="5">
        <v>27</v>
      </c>
      <c r="G564" s="5">
        <v>7</v>
      </c>
      <c r="H564" s="5">
        <v>2</v>
      </c>
      <c r="I564" s="5">
        <v>5</v>
      </c>
      <c r="J564" s="5">
        <v>2</v>
      </c>
      <c r="K564" s="5">
        <v>0</v>
      </c>
      <c r="L564" s="5">
        <v>2</v>
      </c>
    </row>
    <row r="565" spans="1:12" ht="13">
      <c r="A565" s="20" t="s">
        <v>239</v>
      </c>
      <c r="B565" s="5">
        <v>199</v>
      </c>
      <c r="C565" s="6">
        <f t="shared" si="6"/>
        <v>3.1343473556927386E-4</v>
      </c>
      <c r="D565" s="19">
        <f t="shared" si="7"/>
        <v>197</v>
      </c>
      <c r="E565" s="5">
        <v>79</v>
      </c>
      <c r="F565" s="5">
        <v>39</v>
      </c>
      <c r="G565" s="5">
        <v>32</v>
      </c>
      <c r="H565" s="5">
        <v>13</v>
      </c>
      <c r="I565" s="5">
        <v>22</v>
      </c>
      <c r="J565" s="5">
        <v>9</v>
      </c>
      <c r="K565" s="5">
        <v>0</v>
      </c>
      <c r="L565" s="5">
        <v>3</v>
      </c>
    </row>
    <row r="566" spans="1:12" ht="13" hidden="1">
      <c r="A566" s="20" t="s">
        <v>240</v>
      </c>
      <c r="B566" s="5">
        <v>107</v>
      </c>
      <c r="C566" s="6">
        <f t="shared" si="6"/>
        <v>1.7024120155285433E-4</v>
      </c>
      <c r="D566" s="19">
        <f t="shared" si="7"/>
        <v>107</v>
      </c>
      <c r="E566" s="5">
        <v>44</v>
      </c>
      <c r="F566" s="5">
        <v>19</v>
      </c>
      <c r="G566" s="5">
        <v>18</v>
      </c>
      <c r="H566" s="5">
        <v>9</v>
      </c>
      <c r="I566" s="5">
        <v>11</v>
      </c>
      <c r="J566" s="5">
        <v>5</v>
      </c>
      <c r="K566" s="5">
        <v>0</v>
      </c>
      <c r="L566" s="5">
        <v>1</v>
      </c>
    </row>
    <row r="567" spans="1:12" ht="13" hidden="1">
      <c r="A567" s="20" t="s">
        <v>241</v>
      </c>
      <c r="B567" s="5">
        <v>92</v>
      </c>
      <c r="C567" s="6">
        <f t="shared" si="6"/>
        <v>1.4319353401641953E-4</v>
      </c>
      <c r="D567" s="19">
        <f t="shared" si="7"/>
        <v>90</v>
      </c>
      <c r="E567" s="5">
        <v>35</v>
      </c>
      <c r="F567" s="5">
        <v>20</v>
      </c>
      <c r="G567" s="5">
        <v>14</v>
      </c>
      <c r="H567" s="5">
        <v>4</v>
      </c>
      <c r="I567" s="5">
        <v>11</v>
      </c>
      <c r="J567" s="5">
        <v>4</v>
      </c>
      <c r="K567" s="5">
        <v>0</v>
      </c>
      <c r="L567" s="5">
        <v>2</v>
      </c>
    </row>
    <row r="568" spans="1:12" ht="13">
      <c r="A568" s="20" t="s">
        <v>242</v>
      </c>
      <c r="B568" s="5">
        <v>976</v>
      </c>
      <c r="C568" s="6">
        <f t="shared" si="6"/>
        <v>1.54808120664418E-3</v>
      </c>
      <c r="D568" s="19">
        <f t="shared" si="7"/>
        <v>973</v>
      </c>
      <c r="E568" s="5">
        <v>413</v>
      </c>
      <c r="F568" s="5">
        <v>336</v>
      </c>
      <c r="G568" s="5">
        <v>102</v>
      </c>
      <c r="H568" s="5">
        <v>43</v>
      </c>
      <c r="I568" s="5">
        <v>43</v>
      </c>
      <c r="J568" s="5">
        <v>21</v>
      </c>
      <c r="K568" s="5">
        <v>12</v>
      </c>
      <c r="L568" s="5">
        <v>3</v>
      </c>
    </row>
    <row r="569" spans="1:12" ht="13" hidden="1">
      <c r="A569" s="20" t="s">
        <v>243</v>
      </c>
      <c r="B569" s="5">
        <v>190</v>
      </c>
      <c r="C569" s="6">
        <f t="shared" si="6"/>
        <v>3.0229746070133009E-4</v>
      </c>
      <c r="D569" s="19">
        <f t="shared" si="7"/>
        <v>190</v>
      </c>
      <c r="E569" s="5">
        <v>94</v>
      </c>
      <c r="F569" s="5">
        <v>55</v>
      </c>
      <c r="G569" s="5">
        <v>18</v>
      </c>
      <c r="H569" s="5">
        <v>11</v>
      </c>
      <c r="I569" s="5">
        <v>8</v>
      </c>
      <c r="J569" s="5">
        <v>3</v>
      </c>
      <c r="K569" s="5">
        <v>1</v>
      </c>
      <c r="L569" s="5">
        <v>0</v>
      </c>
    </row>
    <row r="570" spans="1:12" ht="13" hidden="1">
      <c r="A570" s="20" t="s">
        <v>244</v>
      </c>
      <c r="B570" s="5">
        <v>121</v>
      </c>
      <c r="C570" s="6">
        <f t="shared" si="6"/>
        <v>1.909247120218927E-4</v>
      </c>
      <c r="D570" s="19">
        <f t="shared" si="7"/>
        <v>120</v>
      </c>
      <c r="E570" s="5">
        <v>90</v>
      </c>
      <c r="F570" s="5">
        <v>17</v>
      </c>
      <c r="G570" s="5">
        <v>6</v>
      </c>
      <c r="H570" s="5">
        <v>2</v>
      </c>
      <c r="I570" s="5">
        <v>4</v>
      </c>
      <c r="J570" s="5">
        <v>1</v>
      </c>
      <c r="K570" s="5">
        <v>0</v>
      </c>
      <c r="L570" s="5">
        <v>0</v>
      </c>
    </row>
    <row r="571" spans="1:12" ht="13" hidden="1">
      <c r="A571" s="20" t="s">
        <v>245</v>
      </c>
      <c r="B571" s="5">
        <v>18</v>
      </c>
      <c r="C571" s="6">
        <f t="shared" si="6"/>
        <v>2.8638706803283906E-5</v>
      </c>
      <c r="D571" s="19">
        <f t="shared" si="7"/>
        <v>18</v>
      </c>
      <c r="E571" s="5">
        <v>10</v>
      </c>
      <c r="F571" s="5">
        <v>5</v>
      </c>
      <c r="G571" s="5">
        <v>1</v>
      </c>
      <c r="H571" s="5">
        <v>1</v>
      </c>
      <c r="I571" s="5">
        <v>1</v>
      </c>
      <c r="J571" s="5">
        <v>0</v>
      </c>
      <c r="K571" s="5">
        <v>0</v>
      </c>
      <c r="L571" s="5">
        <v>0</v>
      </c>
    </row>
    <row r="572" spans="1:12" ht="13" hidden="1">
      <c r="A572" s="20" t="s">
        <v>246</v>
      </c>
      <c r="B572" s="5">
        <v>647</v>
      </c>
      <c r="C572" s="6">
        <f t="shared" si="6"/>
        <v>1.0262203271176732E-3</v>
      </c>
      <c r="D572" s="19">
        <f t="shared" si="7"/>
        <v>645</v>
      </c>
      <c r="E572" s="5">
        <v>219</v>
      </c>
      <c r="F572" s="5">
        <v>259</v>
      </c>
      <c r="G572" s="5">
        <v>77</v>
      </c>
      <c r="H572" s="5">
        <v>29</v>
      </c>
      <c r="I572" s="5">
        <v>30</v>
      </c>
      <c r="J572" s="5">
        <v>17</v>
      </c>
      <c r="K572" s="5">
        <v>11</v>
      </c>
      <c r="L572" s="5">
        <v>3</v>
      </c>
    </row>
    <row r="573" spans="1:12" ht="26">
      <c r="A573" s="20" t="s">
        <v>247</v>
      </c>
      <c r="B573" s="5">
        <v>9320</v>
      </c>
      <c r="C573" s="6">
        <f t="shared" si="6"/>
        <v>1.4780754789028194E-2</v>
      </c>
      <c r="D573" s="19">
        <f t="shared" si="7"/>
        <v>9290</v>
      </c>
      <c r="E573" s="5">
        <v>5921</v>
      </c>
      <c r="F573" s="5">
        <v>1850</v>
      </c>
      <c r="G573" s="5">
        <v>554</v>
      </c>
      <c r="H573" s="5">
        <v>326</v>
      </c>
      <c r="I573" s="5">
        <v>339</v>
      </c>
      <c r="J573" s="5">
        <v>199</v>
      </c>
      <c r="K573" s="5">
        <v>59</v>
      </c>
      <c r="L573" s="5">
        <v>42</v>
      </c>
    </row>
    <row r="574" spans="1:12" ht="26" hidden="1">
      <c r="A574" s="20" t="s">
        <v>248</v>
      </c>
      <c r="B574" s="5">
        <v>9320</v>
      </c>
      <c r="C574" s="6">
        <f t="shared" si="6"/>
        <v>1.4780754789028194E-2</v>
      </c>
      <c r="D574" s="19">
        <f t="shared" si="7"/>
        <v>9290</v>
      </c>
      <c r="E574" s="5">
        <v>5921</v>
      </c>
      <c r="F574" s="5">
        <v>1850</v>
      </c>
      <c r="G574" s="5">
        <v>554</v>
      </c>
      <c r="H574" s="5">
        <v>326</v>
      </c>
      <c r="I574" s="5">
        <v>339</v>
      </c>
      <c r="J574" s="5">
        <v>199</v>
      </c>
      <c r="K574" s="5">
        <v>59</v>
      </c>
      <c r="L574" s="5">
        <v>42</v>
      </c>
    </row>
    <row r="575" spans="1:12" ht="13">
      <c r="A575" s="20" t="s">
        <v>249</v>
      </c>
      <c r="B575" s="5">
        <v>1053</v>
      </c>
      <c r="C575" s="6">
        <f t="shared" si="6"/>
        <v>1.6658181123910137E-3</v>
      </c>
      <c r="D575" s="19">
        <f t="shared" si="7"/>
        <v>1047</v>
      </c>
      <c r="E575" s="5">
        <v>567</v>
      </c>
      <c r="F575" s="5">
        <v>256</v>
      </c>
      <c r="G575" s="5">
        <v>93</v>
      </c>
      <c r="H575" s="5">
        <v>39</v>
      </c>
      <c r="I575" s="5">
        <v>43</v>
      </c>
      <c r="J575" s="5">
        <v>28</v>
      </c>
      <c r="K575" s="5">
        <v>13</v>
      </c>
      <c r="L575" s="5">
        <v>8</v>
      </c>
    </row>
    <row r="576" spans="1:12" ht="26" hidden="1">
      <c r="A576" s="20" t="s">
        <v>250</v>
      </c>
      <c r="B576" s="5">
        <v>819</v>
      </c>
      <c r="C576" s="6">
        <f t="shared" si="6"/>
        <v>1.2966970024820212E-3</v>
      </c>
      <c r="D576" s="19">
        <f t="shared" si="7"/>
        <v>815</v>
      </c>
      <c r="E576" s="5">
        <v>564</v>
      </c>
      <c r="F576" s="5">
        <v>133</v>
      </c>
      <c r="G576" s="5">
        <v>35</v>
      </c>
      <c r="H576" s="5">
        <v>19</v>
      </c>
      <c r="I576" s="5">
        <v>30</v>
      </c>
      <c r="J576" s="5">
        <v>16</v>
      </c>
      <c r="K576" s="5">
        <v>11</v>
      </c>
      <c r="L576" s="5">
        <v>7</v>
      </c>
    </row>
    <row r="577" spans="1:12" ht="13" hidden="1">
      <c r="A577" s="20" t="s">
        <v>251</v>
      </c>
      <c r="B577" s="5">
        <v>234</v>
      </c>
      <c r="C577" s="6">
        <f t="shared" si="6"/>
        <v>3.6912110990899253E-4</v>
      </c>
      <c r="D577" s="19">
        <f t="shared" si="7"/>
        <v>232</v>
      </c>
      <c r="E577" s="5">
        <v>3</v>
      </c>
      <c r="F577" s="5">
        <v>123</v>
      </c>
      <c r="G577" s="5">
        <v>58</v>
      </c>
      <c r="H577" s="5">
        <v>20</v>
      </c>
      <c r="I577" s="5">
        <v>13</v>
      </c>
      <c r="J577" s="5">
        <v>12</v>
      </c>
      <c r="K577" s="5">
        <v>2</v>
      </c>
      <c r="L577" s="5">
        <v>1</v>
      </c>
    </row>
    <row r="578" spans="1:12" ht="13">
      <c r="A578" s="20" t="s">
        <v>252</v>
      </c>
      <c r="B578" s="5">
        <v>597</v>
      </c>
      <c r="C578" s="6">
        <f t="shared" si="6"/>
        <v>9.4507732450836886E-4</v>
      </c>
      <c r="D578" s="19">
        <f t="shared" si="7"/>
        <v>594</v>
      </c>
      <c r="E578" s="5">
        <v>179</v>
      </c>
      <c r="F578" s="5">
        <v>314</v>
      </c>
      <c r="G578" s="5">
        <v>63</v>
      </c>
      <c r="H578" s="5">
        <v>12</v>
      </c>
      <c r="I578" s="5">
        <v>13</v>
      </c>
      <c r="J578" s="5">
        <v>9</v>
      </c>
      <c r="K578" s="5">
        <v>4</v>
      </c>
      <c r="L578" s="5">
        <v>0</v>
      </c>
    </row>
    <row r="579" spans="1:12" ht="13" hidden="1">
      <c r="A579" s="20" t="s">
        <v>253</v>
      </c>
      <c r="B579" s="5">
        <v>15</v>
      </c>
      <c r="C579" s="6">
        <f t="shared" si="6"/>
        <v>2.0683510469038376E-5</v>
      </c>
      <c r="D579" s="19">
        <f t="shared" si="7"/>
        <v>13</v>
      </c>
      <c r="E579" s="5">
        <v>3</v>
      </c>
      <c r="F579" s="5">
        <v>3</v>
      </c>
      <c r="G579" s="5">
        <v>0</v>
      </c>
      <c r="H579" s="5">
        <v>1</v>
      </c>
      <c r="I579" s="5">
        <v>1</v>
      </c>
      <c r="J579" s="5">
        <v>4</v>
      </c>
      <c r="K579" s="5">
        <v>1</v>
      </c>
      <c r="L579" s="5">
        <v>0</v>
      </c>
    </row>
    <row r="580" spans="1:12" ht="13" hidden="1">
      <c r="A580" s="20" t="s">
        <v>254</v>
      </c>
      <c r="B580" s="5">
        <v>236</v>
      </c>
      <c r="C580" s="6">
        <f t="shared" si="6"/>
        <v>3.7548526697638897E-4</v>
      </c>
      <c r="D580" s="19">
        <f t="shared" si="7"/>
        <v>236</v>
      </c>
      <c r="E580" s="5">
        <v>40</v>
      </c>
      <c r="F580" s="5">
        <v>175</v>
      </c>
      <c r="G580" s="5">
        <v>21</v>
      </c>
      <c r="H580" s="5">
        <v>0</v>
      </c>
      <c r="I580" s="5">
        <v>0</v>
      </c>
      <c r="J580" s="5">
        <v>0</v>
      </c>
      <c r="K580" s="5">
        <v>0</v>
      </c>
      <c r="L580" s="5">
        <v>0</v>
      </c>
    </row>
    <row r="581" spans="1:12" ht="13" hidden="1">
      <c r="A581" s="20" t="s">
        <v>255</v>
      </c>
      <c r="B581" s="5">
        <v>29</v>
      </c>
      <c r="C581" s="6">
        <f t="shared" si="6"/>
        <v>4.6140138738624066E-5</v>
      </c>
      <c r="D581" s="19">
        <f t="shared" si="7"/>
        <v>29</v>
      </c>
      <c r="E581" s="5">
        <v>6</v>
      </c>
      <c r="F581" s="5">
        <v>15</v>
      </c>
      <c r="G581" s="5">
        <v>3</v>
      </c>
      <c r="H581" s="5">
        <v>2</v>
      </c>
      <c r="I581" s="5">
        <v>3</v>
      </c>
      <c r="J581" s="5">
        <v>0</v>
      </c>
      <c r="K581" s="5">
        <v>0</v>
      </c>
      <c r="L581" s="5">
        <v>0</v>
      </c>
    </row>
    <row r="582" spans="1:12" ht="26" hidden="1">
      <c r="A582" s="20" t="s">
        <v>256</v>
      </c>
      <c r="B582" s="5">
        <v>317</v>
      </c>
      <c r="C582" s="6">
        <f t="shared" si="6"/>
        <v>5.027684083243174E-4</v>
      </c>
      <c r="D582" s="19">
        <f t="shared" si="7"/>
        <v>316</v>
      </c>
      <c r="E582" s="5">
        <v>130</v>
      </c>
      <c r="F582" s="5">
        <v>121</v>
      </c>
      <c r="G582" s="5">
        <v>39</v>
      </c>
      <c r="H582" s="5">
        <v>9</v>
      </c>
      <c r="I582" s="5">
        <v>9</v>
      </c>
      <c r="J582" s="5">
        <v>5</v>
      </c>
      <c r="K582" s="5">
        <v>3</v>
      </c>
      <c r="L582" s="5">
        <v>0</v>
      </c>
    </row>
    <row r="583" spans="1:12" ht="26">
      <c r="A583" s="20" t="s">
        <v>257</v>
      </c>
      <c r="B583" s="5">
        <v>158</v>
      </c>
      <c r="C583" s="6">
        <f t="shared" si="6"/>
        <v>2.4342900782791318E-4</v>
      </c>
      <c r="D583" s="19">
        <f t="shared" si="7"/>
        <v>153</v>
      </c>
      <c r="E583" s="5">
        <v>35</v>
      </c>
      <c r="F583" s="5">
        <v>59</v>
      </c>
      <c r="G583" s="5">
        <v>32</v>
      </c>
      <c r="H583" s="5">
        <v>5</v>
      </c>
      <c r="I583" s="5">
        <v>4</v>
      </c>
      <c r="J583" s="5">
        <v>11</v>
      </c>
      <c r="K583" s="5">
        <v>2</v>
      </c>
      <c r="L583" s="5">
        <v>5</v>
      </c>
    </row>
    <row r="584" spans="1:12" ht="13" hidden="1">
      <c r="A584" s="20" t="s">
        <v>258</v>
      </c>
      <c r="B584" s="5">
        <v>154</v>
      </c>
      <c r="C584" s="6">
        <f t="shared" si="6"/>
        <v>2.3706485076051677E-4</v>
      </c>
      <c r="D584" s="19">
        <f t="shared" si="7"/>
        <v>149</v>
      </c>
      <c r="E584" s="5">
        <v>34</v>
      </c>
      <c r="F584" s="5">
        <v>56</v>
      </c>
      <c r="G584" s="5">
        <v>32</v>
      </c>
      <c r="H584" s="5">
        <v>5</v>
      </c>
      <c r="I584" s="5">
        <v>4</v>
      </c>
      <c r="J584" s="5">
        <v>11</v>
      </c>
      <c r="K584" s="5">
        <v>2</v>
      </c>
      <c r="L584" s="5">
        <v>5</v>
      </c>
    </row>
    <row r="585" spans="1:12" ht="13" hidden="1">
      <c r="A585" s="20" t="s">
        <v>259</v>
      </c>
      <c r="B585" s="5">
        <v>3</v>
      </c>
      <c r="C585" s="6">
        <f t="shared" si="6"/>
        <v>4.7731178005473174E-6</v>
      </c>
      <c r="D585" s="19">
        <f t="shared" si="7"/>
        <v>3</v>
      </c>
      <c r="E585" s="5">
        <v>0</v>
      </c>
      <c r="F585" s="5">
        <v>3</v>
      </c>
      <c r="G585" s="5">
        <v>0</v>
      </c>
      <c r="H585" s="5">
        <v>0</v>
      </c>
      <c r="I585" s="5">
        <v>0</v>
      </c>
      <c r="J585" s="5">
        <v>0</v>
      </c>
      <c r="K585" s="5">
        <v>0</v>
      </c>
      <c r="L585" s="5">
        <v>0</v>
      </c>
    </row>
    <row r="586" spans="1:12" ht="13" hidden="1">
      <c r="A586" s="20" t="s">
        <v>260</v>
      </c>
      <c r="B586" s="5">
        <v>1</v>
      </c>
      <c r="C586" s="6">
        <f t="shared" si="6"/>
        <v>1.5910392668491059E-6</v>
      </c>
      <c r="D586" s="19">
        <f t="shared" si="7"/>
        <v>1</v>
      </c>
      <c r="E586" s="5">
        <v>1</v>
      </c>
      <c r="F586" s="5">
        <v>0</v>
      </c>
      <c r="G586" s="5">
        <v>0</v>
      </c>
      <c r="H586" s="5">
        <v>0</v>
      </c>
      <c r="I586" s="5">
        <v>0</v>
      </c>
      <c r="J586" s="5">
        <v>0</v>
      </c>
      <c r="K586" s="5">
        <v>0</v>
      </c>
      <c r="L586" s="5">
        <v>0</v>
      </c>
    </row>
    <row r="587" spans="1:12" ht="13">
      <c r="A587" s="20" t="s">
        <v>261</v>
      </c>
      <c r="B587" s="5">
        <v>12372</v>
      </c>
      <c r="C587" s="6">
        <f t="shared" si="6"/>
        <v>1.967956469165659E-2</v>
      </c>
      <c r="D587" s="19">
        <f t="shared" si="7"/>
        <v>12369</v>
      </c>
      <c r="E587" s="5">
        <v>9464</v>
      </c>
      <c r="F587" s="5">
        <v>2326</v>
      </c>
      <c r="G587" s="5">
        <v>391</v>
      </c>
      <c r="H587" s="5">
        <v>96</v>
      </c>
      <c r="I587" s="5">
        <v>46</v>
      </c>
      <c r="J587" s="5">
        <v>30</v>
      </c>
      <c r="K587" s="5">
        <v>11</v>
      </c>
      <c r="L587" s="5">
        <v>5</v>
      </c>
    </row>
    <row r="588" spans="1:12" ht="26">
      <c r="A588" s="20" t="s">
        <v>262</v>
      </c>
      <c r="B588" s="5">
        <v>1229</v>
      </c>
      <c r="C588" s="6">
        <f t="shared" si="6"/>
        <v>1.955387258957551E-3</v>
      </c>
      <c r="D588" s="19">
        <f t="shared" si="7"/>
        <v>1229</v>
      </c>
      <c r="E588" s="5">
        <v>885</v>
      </c>
      <c r="F588" s="5">
        <v>244</v>
      </c>
      <c r="G588" s="5">
        <v>59</v>
      </c>
      <c r="H588" s="5">
        <v>21</v>
      </c>
      <c r="I588" s="5">
        <v>10</v>
      </c>
      <c r="J588" s="5">
        <v>6</v>
      </c>
      <c r="K588" s="5">
        <v>3</v>
      </c>
      <c r="L588" s="5">
        <v>1</v>
      </c>
    </row>
    <row r="589" spans="1:12" ht="13">
      <c r="A589" s="20" t="s">
        <v>263</v>
      </c>
      <c r="B589" s="5">
        <v>11085</v>
      </c>
      <c r="C589" s="6">
        <f t="shared" si="6"/>
        <v>1.7631897155221791E-2</v>
      </c>
      <c r="D589" s="19">
        <f t="shared" si="7"/>
        <v>11082</v>
      </c>
      <c r="E589" s="5">
        <v>8557</v>
      </c>
      <c r="F589" s="5">
        <v>2067</v>
      </c>
      <c r="G589" s="5">
        <v>325</v>
      </c>
      <c r="H589" s="5">
        <v>72</v>
      </c>
      <c r="I589" s="5">
        <v>30</v>
      </c>
      <c r="J589" s="5">
        <v>20</v>
      </c>
      <c r="K589" s="5">
        <v>7</v>
      </c>
      <c r="L589" s="5">
        <v>4</v>
      </c>
    </row>
    <row r="590" spans="1:12" ht="16" customHeight="1">
      <c r="A590" s="20" t="s">
        <v>264</v>
      </c>
      <c r="B590" s="5">
        <v>58</v>
      </c>
      <c r="C590" s="6">
        <f t="shared" si="6"/>
        <v>9.2280277477248132E-5</v>
      </c>
      <c r="D590" s="19">
        <f t="shared" si="7"/>
        <v>58</v>
      </c>
      <c r="E590" s="5">
        <v>22</v>
      </c>
      <c r="F590" s="5">
        <v>15</v>
      </c>
      <c r="G590" s="5">
        <v>7</v>
      </c>
      <c r="H590" s="5">
        <v>3</v>
      </c>
      <c r="I590" s="5">
        <v>6</v>
      </c>
      <c r="J590" s="5">
        <v>4</v>
      </c>
      <c r="K590" s="5">
        <v>1</v>
      </c>
      <c r="L590" s="5">
        <v>0</v>
      </c>
    </row>
    <row r="591" spans="1:12" ht="13">
      <c r="A591" s="20" t="s">
        <v>265</v>
      </c>
      <c r="B591" s="5">
        <v>46281</v>
      </c>
      <c r="C591" s="6">
        <f t="shared" si="6"/>
        <v>7.3631706230509769E-2</v>
      </c>
      <c r="D591" s="19">
        <f t="shared" si="7"/>
        <v>46279</v>
      </c>
      <c r="E591" s="5">
        <v>34490</v>
      </c>
      <c r="F591" s="5">
        <v>9165</v>
      </c>
      <c r="G591" s="5">
        <v>1737</v>
      </c>
      <c r="H591" s="5">
        <v>575</v>
      </c>
      <c r="I591" s="5">
        <v>208</v>
      </c>
      <c r="J591" s="5">
        <v>81</v>
      </c>
      <c r="K591" s="5">
        <v>16</v>
      </c>
      <c r="L591" s="5">
        <v>7</v>
      </c>
    </row>
    <row r="592" spans="1:12" ht="13">
      <c r="A592" s="20" t="s">
        <v>266</v>
      </c>
      <c r="B592" s="5">
        <v>286</v>
      </c>
      <c r="C592" s="6">
        <f t="shared" si="6"/>
        <v>4.5503723031884428E-4</v>
      </c>
      <c r="D592" s="19">
        <f t="shared" si="7"/>
        <v>286</v>
      </c>
      <c r="E592" s="5">
        <v>34</v>
      </c>
      <c r="F592" s="5">
        <v>190</v>
      </c>
      <c r="G592" s="5">
        <v>38</v>
      </c>
      <c r="H592" s="5">
        <v>18</v>
      </c>
      <c r="I592" s="5">
        <v>5</v>
      </c>
      <c r="J592" s="5">
        <v>1</v>
      </c>
      <c r="K592" s="5">
        <v>0</v>
      </c>
      <c r="L592" s="5">
        <v>0</v>
      </c>
    </row>
    <row r="593" spans="1:12" ht="13">
      <c r="A593" s="20" t="s">
        <v>267</v>
      </c>
      <c r="B593" s="5">
        <v>36243</v>
      </c>
      <c r="C593" s="6">
        <f t="shared" si="6"/>
        <v>5.7662445109145297E-2</v>
      </c>
      <c r="D593" s="19">
        <f t="shared" si="7"/>
        <v>36242</v>
      </c>
      <c r="E593" s="5">
        <v>28898</v>
      </c>
      <c r="F593" s="5">
        <v>6072</v>
      </c>
      <c r="G593" s="5">
        <v>889</v>
      </c>
      <c r="H593" s="5">
        <v>226</v>
      </c>
      <c r="I593" s="5">
        <v>101</v>
      </c>
      <c r="J593" s="5">
        <v>45</v>
      </c>
      <c r="K593" s="5">
        <v>8</v>
      </c>
      <c r="L593" s="5">
        <v>3</v>
      </c>
    </row>
    <row r="594" spans="1:12" ht="13">
      <c r="A594" s="20" t="s">
        <v>268</v>
      </c>
      <c r="B594" s="5">
        <v>9752</v>
      </c>
      <c r="C594" s="6">
        <f t="shared" si="6"/>
        <v>1.551422389104563E-2</v>
      </c>
      <c r="D594" s="19">
        <f t="shared" si="7"/>
        <v>9751</v>
      </c>
      <c r="E594" s="5">
        <v>5558</v>
      </c>
      <c r="F594" s="5">
        <v>2903</v>
      </c>
      <c r="G594" s="5">
        <v>810</v>
      </c>
      <c r="H594" s="5">
        <v>331</v>
      </c>
      <c r="I594" s="5">
        <v>102</v>
      </c>
      <c r="J594" s="5">
        <v>35</v>
      </c>
      <c r="K594" s="5">
        <v>8</v>
      </c>
      <c r="L594" s="5">
        <v>4</v>
      </c>
    </row>
    <row r="595" spans="1:12" ht="13">
      <c r="A595" s="20" t="s">
        <v>269</v>
      </c>
      <c r="B595" s="5">
        <v>25592</v>
      </c>
      <c r="C595" s="6">
        <f t="shared" si="6"/>
        <v>4.069560236746643E-2</v>
      </c>
      <c r="D595" s="19">
        <f t="shared" si="7"/>
        <v>25578</v>
      </c>
      <c r="E595" s="5">
        <v>15593</v>
      </c>
      <c r="F595" s="5">
        <v>6597</v>
      </c>
      <c r="G595" s="5">
        <v>1866</v>
      </c>
      <c r="H595" s="5">
        <v>809</v>
      </c>
      <c r="I595" s="5">
        <v>579</v>
      </c>
      <c r="J595" s="5">
        <v>108</v>
      </c>
      <c r="K595" s="5">
        <v>21</v>
      </c>
      <c r="L595" s="5">
        <v>5</v>
      </c>
    </row>
    <row r="596" spans="1:12" ht="13">
      <c r="A596" s="20" t="s">
        <v>270</v>
      </c>
      <c r="B596" s="5">
        <v>13824</v>
      </c>
      <c r="C596" s="6">
        <f t="shared" si="6"/>
        <v>2.1989753707121491E-2</v>
      </c>
      <c r="D596" s="19">
        <f t="shared" si="7"/>
        <v>13821</v>
      </c>
      <c r="E596" s="5">
        <v>9276</v>
      </c>
      <c r="F596" s="5">
        <v>3211</v>
      </c>
      <c r="G596" s="5">
        <v>738</v>
      </c>
      <c r="H596" s="5">
        <v>326</v>
      </c>
      <c r="I596" s="5">
        <v>228</v>
      </c>
      <c r="J596" s="5">
        <v>34</v>
      </c>
      <c r="K596" s="5">
        <v>7</v>
      </c>
      <c r="L596" s="5">
        <v>1</v>
      </c>
    </row>
    <row r="597" spans="1:12" ht="26">
      <c r="A597" s="20" t="s">
        <v>271</v>
      </c>
      <c r="B597" s="5">
        <v>11768</v>
      </c>
      <c r="C597" s="6">
        <f t="shared" si="6"/>
        <v>1.8705848660344936E-2</v>
      </c>
      <c r="D597" s="19">
        <f t="shared" si="7"/>
        <v>11757</v>
      </c>
      <c r="E597" s="5">
        <v>6317</v>
      </c>
      <c r="F597" s="5">
        <v>3386</v>
      </c>
      <c r="G597" s="5">
        <v>1128</v>
      </c>
      <c r="H597" s="5">
        <v>483</v>
      </c>
      <c r="I597" s="5">
        <v>351</v>
      </c>
      <c r="J597" s="5">
        <v>74</v>
      </c>
      <c r="K597" s="5">
        <v>14</v>
      </c>
      <c r="L597" s="5">
        <v>4</v>
      </c>
    </row>
    <row r="598" spans="1:12" ht="26">
      <c r="A598" s="20" t="s">
        <v>272</v>
      </c>
      <c r="B598" s="5">
        <v>4762</v>
      </c>
      <c r="C598" s="6">
        <f t="shared" si="6"/>
        <v>7.5431171641316104E-3</v>
      </c>
      <c r="D598" s="19">
        <f t="shared" si="7"/>
        <v>4741</v>
      </c>
      <c r="E598" s="5">
        <v>1975</v>
      </c>
      <c r="F598" s="5">
        <v>1725</v>
      </c>
      <c r="G598" s="5">
        <v>485</v>
      </c>
      <c r="H598" s="5">
        <v>247</v>
      </c>
      <c r="I598" s="5">
        <v>178</v>
      </c>
      <c r="J598" s="5">
        <v>83</v>
      </c>
      <c r="K598" s="5">
        <v>33</v>
      </c>
      <c r="L598" s="5">
        <v>15</v>
      </c>
    </row>
    <row r="599" spans="1:12" ht="13" hidden="1">
      <c r="A599" s="20" t="s">
        <v>273</v>
      </c>
      <c r="B599" s="5">
        <v>1039</v>
      </c>
      <c r="C599" s="6">
        <f t="shared" si="6"/>
        <v>1.6339973270540317E-3</v>
      </c>
      <c r="D599" s="19">
        <f t="shared" si="7"/>
        <v>1027</v>
      </c>
      <c r="E599" s="5">
        <v>351</v>
      </c>
      <c r="F599" s="5">
        <v>351</v>
      </c>
      <c r="G599" s="5">
        <v>109</v>
      </c>
      <c r="H599" s="5">
        <v>90</v>
      </c>
      <c r="I599" s="5">
        <v>61</v>
      </c>
      <c r="J599" s="5">
        <v>38</v>
      </c>
      <c r="K599" s="5">
        <v>18</v>
      </c>
      <c r="L599" s="5">
        <v>9</v>
      </c>
    </row>
    <row r="600" spans="1:12" ht="13" hidden="1">
      <c r="A600" s="20" t="s">
        <v>274</v>
      </c>
      <c r="B600" s="5">
        <v>3723</v>
      </c>
      <c r="C600" s="6">
        <f t="shared" si="6"/>
        <v>5.9091198370775791E-3</v>
      </c>
      <c r="D600" s="19">
        <f t="shared" si="7"/>
        <v>3714</v>
      </c>
      <c r="E600" s="5">
        <v>1624</v>
      </c>
      <c r="F600" s="5">
        <v>1374</v>
      </c>
      <c r="G600" s="5">
        <v>376</v>
      </c>
      <c r="H600" s="5">
        <v>157</v>
      </c>
      <c r="I600" s="5">
        <v>117</v>
      </c>
      <c r="J600" s="5">
        <v>45</v>
      </c>
      <c r="K600" s="5">
        <v>15</v>
      </c>
      <c r="L600" s="5">
        <v>6</v>
      </c>
    </row>
    <row r="601" spans="1:12" ht="26">
      <c r="A601" s="20" t="s">
        <v>275</v>
      </c>
      <c r="B601" s="5">
        <v>21224</v>
      </c>
      <c r="C601" s="6">
        <f t="shared" ref="C601:C664" si="8">D601/$D$345</f>
        <v>3.374116973206899E-2</v>
      </c>
      <c r="D601" s="19">
        <f t="shared" si="7"/>
        <v>21207</v>
      </c>
      <c r="E601" s="5">
        <v>15419</v>
      </c>
      <c r="F601" s="5">
        <v>4021</v>
      </c>
      <c r="G601" s="5">
        <v>874</v>
      </c>
      <c r="H601" s="5">
        <v>395</v>
      </c>
      <c r="I601" s="5">
        <v>336</v>
      </c>
      <c r="J601" s="5">
        <v>109</v>
      </c>
      <c r="K601" s="5">
        <v>37</v>
      </c>
      <c r="L601" s="5">
        <v>16</v>
      </c>
    </row>
    <row r="602" spans="1:12" ht="26">
      <c r="A602" s="20" t="s">
        <v>276</v>
      </c>
      <c r="B602" s="5">
        <v>18071</v>
      </c>
      <c r="C602" s="6">
        <f t="shared" si="8"/>
        <v>2.8732578120028003E-2</v>
      </c>
      <c r="D602" s="19">
        <f t="shared" ref="D602:D665" si="9">SUM(E602:L602)</f>
        <v>18059</v>
      </c>
      <c r="E602" s="5">
        <v>13696</v>
      </c>
      <c r="F602" s="5">
        <v>2967</v>
      </c>
      <c r="G602" s="5">
        <v>677</v>
      </c>
      <c r="H602" s="5">
        <v>306</v>
      </c>
      <c r="I602" s="5">
        <v>281</v>
      </c>
      <c r="J602" s="5">
        <v>94</v>
      </c>
      <c r="K602" s="5">
        <v>25</v>
      </c>
      <c r="L602" s="5">
        <v>13</v>
      </c>
    </row>
    <row r="603" spans="1:12" ht="13" hidden="1">
      <c r="A603" s="20" t="s">
        <v>277</v>
      </c>
      <c r="B603" s="5">
        <v>3153</v>
      </c>
      <c r="C603" s="6">
        <f t="shared" si="8"/>
        <v>5.0085916120409853E-3</v>
      </c>
      <c r="D603" s="19">
        <f t="shared" si="9"/>
        <v>3148</v>
      </c>
      <c r="E603" s="5">
        <v>1723</v>
      </c>
      <c r="F603" s="5">
        <v>1054</v>
      </c>
      <c r="G603" s="5">
        <v>197</v>
      </c>
      <c r="H603" s="5">
        <v>89</v>
      </c>
      <c r="I603" s="5">
        <v>55</v>
      </c>
      <c r="J603" s="5">
        <v>15</v>
      </c>
      <c r="K603" s="5">
        <v>12</v>
      </c>
      <c r="L603" s="5">
        <v>3</v>
      </c>
    </row>
    <row r="604" spans="1:12" ht="13" hidden="1">
      <c r="A604" s="20" t="s">
        <v>278</v>
      </c>
      <c r="B604" s="5">
        <v>1881</v>
      </c>
      <c r="C604" s="6">
        <f t="shared" si="8"/>
        <v>2.9529688792719402E-3</v>
      </c>
      <c r="D604" s="19">
        <f t="shared" si="9"/>
        <v>1856</v>
      </c>
      <c r="E604" s="5">
        <v>1335</v>
      </c>
      <c r="F604" s="5">
        <v>240</v>
      </c>
      <c r="G604" s="5">
        <v>100</v>
      </c>
      <c r="H604" s="5">
        <v>64</v>
      </c>
      <c r="I604" s="5">
        <v>51</v>
      </c>
      <c r="J604" s="5">
        <v>37</v>
      </c>
      <c r="K604" s="5">
        <v>19</v>
      </c>
      <c r="L604" s="5">
        <v>10</v>
      </c>
    </row>
    <row r="605" spans="1:12" ht="26" hidden="1">
      <c r="A605" s="20" t="s">
        <v>279</v>
      </c>
      <c r="B605" s="5">
        <v>1155</v>
      </c>
      <c r="C605" s="6">
        <f t="shared" si="8"/>
        <v>1.7978743715394896E-3</v>
      </c>
      <c r="D605" s="19">
        <f t="shared" si="9"/>
        <v>1130</v>
      </c>
      <c r="E605" s="5">
        <v>701</v>
      </c>
      <c r="F605" s="5">
        <v>185</v>
      </c>
      <c r="G605" s="5">
        <v>87</v>
      </c>
      <c r="H605" s="5">
        <v>58</v>
      </c>
      <c r="I605" s="5">
        <v>41</v>
      </c>
      <c r="J605" s="5">
        <v>32</v>
      </c>
      <c r="K605" s="5">
        <v>16</v>
      </c>
      <c r="L605" s="5">
        <v>10</v>
      </c>
    </row>
    <row r="606" spans="1:12" ht="26" hidden="1">
      <c r="A606" s="20" t="s">
        <v>280</v>
      </c>
      <c r="B606" s="5">
        <v>726</v>
      </c>
      <c r="C606" s="6">
        <f t="shared" si="8"/>
        <v>1.1550945077324509E-3</v>
      </c>
      <c r="D606" s="19">
        <f t="shared" si="9"/>
        <v>726</v>
      </c>
      <c r="E606" s="5">
        <v>634</v>
      </c>
      <c r="F606" s="5">
        <v>55</v>
      </c>
      <c r="G606" s="5">
        <v>13</v>
      </c>
      <c r="H606" s="5">
        <v>6</v>
      </c>
      <c r="I606" s="5">
        <v>10</v>
      </c>
      <c r="J606" s="5">
        <v>5</v>
      </c>
      <c r="K606" s="5">
        <v>3</v>
      </c>
      <c r="L606" s="5">
        <v>0</v>
      </c>
    </row>
    <row r="607" spans="1:12" ht="13">
      <c r="A607" s="20" t="s">
        <v>281</v>
      </c>
      <c r="B607" s="5">
        <v>10681</v>
      </c>
      <c r="C607" s="6">
        <f t="shared" si="8"/>
        <v>1.6962069623878317E-2</v>
      </c>
      <c r="D607" s="19">
        <f t="shared" si="9"/>
        <v>10661</v>
      </c>
      <c r="E607" s="5">
        <v>7336</v>
      </c>
      <c r="F607" s="5">
        <v>2249</v>
      </c>
      <c r="G607" s="5">
        <v>503</v>
      </c>
      <c r="H607" s="5">
        <v>225</v>
      </c>
      <c r="I607" s="5">
        <v>240</v>
      </c>
      <c r="J607" s="5">
        <v>78</v>
      </c>
      <c r="K607" s="5">
        <v>20</v>
      </c>
      <c r="L607" s="5">
        <v>10</v>
      </c>
    </row>
    <row r="608" spans="1:12" ht="13">
      <c r="A608" s="20" t="s">
        <v>282</v>
      </c>
      <c r="B608" s="5">
        <v>9867</v>
      </c>
      <c r="C608" s="6">
        <f t="shared" si="8"/>
        <v>1.5671736778463691E-2</v>
      </c>
      <c r="D608" s="19">
        <f t="shared" si="9"/>
        <v>9850</v>
      </c>
      <c r="E608" s="5">
        <v>6946</v>
      </c>
      <c r="F608" s="5">
        <v>1959</v>
      </c>
      <c r="G608" s="5">
        <v>449</v>
      </c>
      <c r="H608" s="5">
        <v>202</v>
      </c>
      <c r="I608" s="5">
        <v>205</v>
      </c>
      <c r="J608" s="5">
        <v>67</v>
      </c>
      <c r="K608" s="5">
        <v>14</v>
      </c>
      <c r="L608" s="5">
        <v>8</v>
      </c>
    </row>
    <row r="609" spans="1:12" ht="26" hidden="1">
      <c r="A609" s="20" t="s">
        <v>283</v>
      </c>
      <c r="B609" s="5">
        <v>814</v>
      </c>
      <c r="C609" s="6">
        <f t="shared" si="8"/>
        <v>1.2903328454146247E-3</v>
      </c>
      <c r="D609" s="19">
        <f t="shared" si="9"/>
        <v>811</v>
      </c>
      <c r="E609" s="5">
        <v>390</v>
      </c>
      <c r="F609" s="5">
        <v>290</v>
      </c>
      <c r="G609" s="5">
        <v>54</v>
      </c>
      <c r="H609" s="5">
        <v>23</v>
      </c>
      <c r="I609" s="5">
        <v>35</v>
      </c>
      <c r="J609" s="5">
        <v>11</v>
      </c>
      <c r="K609" s="5">
        <v>6</v>
      </c>
      <c r="L609" s="5">
        <v>2</v>
      </c>
    </row>
    <row r="610" spans="1:12" ht="13">
      <c r="A610" s="20" t="s">
        <v>284</v>
      </c>
      <c r="B610" s="5">
        <v>16634</v>
      </c>
      <c r="C610" s="6">
        <f t="shared" si="8"/>
        <v>2.6447845732832688E-2</v>
      </c>
      <c r="D610" s="19">
        <f t="shared" si="9"/>
        <v>16623</v>
      </c>
      <c r="E610" s="5">
        <v>14173</v>
      </c>
      <c r="F610" s="5">
        <v>1783</v>
      </c>
      <c r="G610" s="5">
        <v>311</v>
      </c>
      <c r="H610" s="5">
        <v>153</v>
      </c>
      <c r="I610" s="5">
        <v>132</v>
      </c>
      <c r="J610" s="5">
        <v>48</v>
      </c>
      <c r="K610" s="5">
        <v>20</v>
      </c>
      <c r="L610" s="5">
        <v>3</v>
      </c>
    </row>
    <row r="611" spans="1:12" ht="13" hidden="1">
      <c r="A611" s="20" t="s">
        <v>285</v>
      </c>
      <c r="B611" s="5">
        <v>868</v>
      </c>
      <c r="C611" s="6">
        <f t="shared" si="8"/>
        <v>1.3810220836250238E-3</v>
      </c>
      <c r="D611" s="19">
        <f t="shared" si="9"/>
        <v>868</v>
      </c>
      <c r="E611" s="5">
        <v>600</v>
      </c>
      <c r="F611" s="5">
        <v>163</v>
      </c>
      <c r="G611" s="5">
        <v>51</v>
      </c>
      <c r="H611" s="5">
        <v>25</v>
      </c>
      <c r="I611" s="5">
        <v>17</v>
      </c>
      <c r="J611" s="5">
        <v>7</v>
      </c>
      <c r="K611" s="5">
        <v>4</v>
      </c>
      <c r="L611" s="5">
        <v>1</v>
      </c>
    </row>
    <row r="612" spans="1:12" ht="13" hidden="1">
      <c r="A612" s="20" t="s">
        <v>286</v>
      </c>
      <c r="B612" s="5">
        <v>2432</v>
      </c>
      <c r="C612" s="6">
        <f t="shared" si="8"/>
        <v>3.8694074969770256E-3</v>
      </c>
      <c r="D612" s="19">
        <f t="shared" si="9"/>
        <v>2432</v>
      </c>
      <c r="E612" s="5">
        <v>1905</v>
      </c>
      <c r="F612" s="5">
        <v>434</v>
      </c>
      <c r="G612" s="5">
        <v>59</v>
      </c>
      <c r="H612" s="5">
        <v>21</v>
      </c>
      <c r="I612" s="5">
        <v>10</v>
      </c>
      <c r="J612" s="5">
        <v>1</v>
      </c>
      <c r="K612" s="5">
        <v>2</v>
      </c>
      <c r="L612" s="5">
        <v>0</v>
      </c>
    </row>
    <row r="613" spans="1:12" ht="13" hidden="1">
      <c r="A613" s="20" t="s">
        <v>287</v>
      </c>
      <c r="B613" s="5">
        <v>2683</v>
      </c>
      <c r="C613" s="6">
        <f t="shared" si="8"/>
        <v>4.2655762744224527E-3</v>
      </c>
      <c r="D613" s="19">
        <f t="shared" si="9"/>
        <v>2681</v>
      </c>
      <c r="E613" s="5">
        <v>2410</v>
      </c>
      <c r="F613" s="5">
        <v>199</v>
      </c>
      <c r="G613" s="5">
        <v>28</v>
      </c>
      <c r="H613" s="5">
        <v>21</v>
      </c>
      <c r="I613" s="5">
        <v>15</v>
      </c>
      <c r="J613" s="5">
        <v>7</v>
      </c>
      <c r="K613" s="5">
        <v>1</v>
      </c>
      <c r="L613" s="5">
        <v>0</v>
      </c>
    </row>
    <row r="614" spans="1:12" ht="13" hidden="1">
      <c r="A614" s="20" t="s">
        <v>288</v>
      </c>
      <c r="B614" s="5">
        <v>10651</v>
      </c>
      <c r="C614" s="6">
        <f t="shared" si="8"/>
        <v>1.6931839877808184E-2</v>
      </c>
      <c r="D614" s="19">
        <f t="shared" si="9"/>
        <v>10642</v>
      </c>
      <c r="E614" s="5">
        <v>9258</v>
      </c>
      <c r="F614" s="5">
        <v>987</v>
      </c>
      <c r="G614" s="5">
        <v>173</v>
      </c>
      <c r="H614" s="5">
        <v>86</v>
      </c>
      <c r="I614" s="5">
        <v>90</v>
      </c>
      <c r="J614" s="5">
        <v>33</v>
      </c>
      <c r="K614" s="5">
        <v>13</v>
      </c>
      <c r="L614" s="5">
        <v>2</v>
      </c>
    </row>
    <row r="615" spans="1:12" ht="13">
      <c r="A615" s="20" t="s">
        <v>289</v>
      </c>
      <c r="B615" s="5">
        <v>1437</v>
      </c>
      <c r="C615" s="6">
        <f t="shared" si="8"/>
        <v>2.2863234264621649E-3</v>
      </c>
      <c r="D615" s="19">
        <f t="shared" si="9"/>
        <v>1437</v>
      </c>
      <c r="E615" s="5">
        <v>713</v>
      </c>
      <c r="F615" s="5">
        <v>404</v>
      </c>
      <c r="G615" s="5">
        <v>193</v>
      </c>
      <c r="H615" s="5">
        <v>63</v>
      </c>
      <c r="I615" s="5">
        <v>40</v>
      </c>
      <c r="J615" s="5">
        <v>18</v>
      </c>
      <c r="K615" s="5">
        <v>5</v>
      </c>
      <c r="L615" s="5">
        <v>1</v>
      </c>
    </row>
    <row r="616" spans="1:12" ht="13" hidden="1">
      <c r="A616" s="20" t="s">
        <v>290</v>
      </c>
      <c r="B616" s="5">
        <v>1437</v>
      </c>
      <c r="C616" s="6">
        <f t="shared" si="8"/>
        <v>2.2863234264621649E-3</v>
      </c>
      <c r="D616" s="19">
        <f t="shared" si="9"/>
        <v>1437</v>
      </c>
      <c r="E616" s="5">
        <v>713</v>
      </c>
      <c r="F616" s="5">
        <v>404</v>
      </c>
      <c r="G616" s="5">
        <v>193</v>
      </c>
      <c r="H616" s="5">
        <v>63</v>
      </c>
      <c r="I616" s="5">
        <v>40</v>
      </c>
      <c r="J616" s="5">
        <v>18</v>
      </c>
      <c r="K616" s="5">
        <v>5</v>
      </c>
      <c r="L616" s="5">
        <v>1</v>
      </c>
    </row>
    <row r="617" spans="1:12" ht="13">
      <c r="A617" s="20" t="s">
        <v>291</v>
      </c>
      <c r="B617" s="5">
        <v>3550</v>
      </c>
      <c r="C617" s="6">
        <f t="shared" si="8"/>
        <v>5.6402342009800798E-3</v>
      </c>
      <c r="D617" s="19">
        <f t="shared" si="9"/>
        <v>3545</v>
      </c>
      <c r="E617" s="5">
        <v>2108</v>
      </c>
      <c r="F617" s="5">
        <v>899</v>
      </c>
      <c r="G617" s="5">
        <v>265</v>
      </c>
      <c r="H617" s="5">
        <v>136</v>
      </c>
      <c r="I617" s="5">
        <v>78</v>
      </c>
      <c r="J617" s="5">
        <v>46</v>
      </c>
      <c r="K617" s="5">
        <v>10</v>
      </c>
      <c r="L617" s="5">
        <v>3</v>
      </c>
    </row>
    <row r="618" spans="1:12" ht="13" hidden="1">
      <c r="A618" s="20" t="s">
        <v>292</v>
      </c>
      <c r="B618" s="5">
        <v>718</v>
      </c>
      <c r="C618" s="6">
        <f t="shared" si="8"/>
        <v>1.1391841150639598E-3</v>
      </c>
      <c r="D618" s="19">
        <f t="shared" si="9"/>
        <v>716</v>
      </c>
      <c r="E618" s="5">
        <v>455</v>
      </c>
      <c r="F618" s="5">
        <v>173</v>
      </c>
      <c r="G618" s="5">
        <v>55</v>
      </c>
      <c r="H618" s="5">
        <v>18</v>
      </c>
      <c r="I618" s="5">
        <v>9</v>
      </c>
      <c r="J618" s="5">
        <v>4</v>
      </c>
      <c r="K618" s="5">
        <v>1</v>
      </c>
      <c r="L618" s="5">
        <v>1</v>
      </c>
    </row>
    <row r="619" spans="1:12" ht="13" hidden="1">
      <c r="A619" s="20" t="s">
        <v>293</v>
      </c>
      <c r="B619" s="5">
        <v>513</v>
      </c>
      <c r="C619" s="6">
        <f t="shared" si="8"/>
        <v>8.1620314389359132E-4</v>
      </c>
      <c r="D619" s="19">
        <f t="shared" si="9"/>
        <v>513</v>
      </c>
      <c r="E619" s="5">
        <v>251</v>
      </c>
      <c r="F619" s="5">
        <v>151</v>
      </c>
      <c r="G619" s="5">
        <v>58</v>
      </c>
      <c r="H619" s="5">
        <v>23</v>
      </c>
      <c r="I619" s="5">
        <v>19</v>
      </c>
      <c r="J619" s="5">
        <v>9</v>
      </c>
      <c r="K619" s="5">
        <v>2</v>
      </c>
      <c r="L619" s="5">
        <v>0</v>
      </c>
    </row>
    <row r="620" spans="1:12" ht="13" hidden="1">
      <c r="A620" s="20" t="s">
        <v>294</v>
      </c>
      <c r="B620" s="5">
        <v>2276</v>
      </c>
      <c r="C620" s="6">
        <f t="shared" si="8"/>
        <v>3.6180232928148667E-3</v>
      </c>
      <c r="D620" s="19">
        <f t="shared" si="9"/>
        <v>2274</v>
      </c>
      <c r="E620" s="5">
        <v>1396</v>
      </c>
      <c r="F620" s="5">
        <v>555</v>
      </c>
      <c r="G620" s="5">
        <v>145</v>
      </c>
      <c r="H620" s="5">
        <v>89</v>
      </c>
      <c r="I620" s="5">
        <v>48</v>
      </c>
      <c r="J620" s="5">
        <v>32</v>
      </c>
      <c r="K620" s="5">
        <v>7</v>
      </c>
      <c r="L620" s="5">
        <v>2</v>
      </c>
    </row>
    <row r="621" spans="1:12" ht="26" hidden="1">
      <c r="A621" s="20" t="s">
        <v>295</v>
      </c>
      <c r="B621" s="5">
        <v>43</v>
      </c>
      <c r="C621" s="6">
        <f t="shared" si="8"/>
        <v>6.6823649207662449E-5</v>
      </c>
      <c r="D621" s="19">
        <f t="shared" si="9"/>
        <v>42</v>
      </c>
      <c r="E621" s="5">
        <v>6</v>
      </c>
      <c r="F621" s="5">
        <v>20</v>
      </c>
      <c r="G621" s="5">
        <v>7</v>
      </c>
      <c r="H621" s="5">
        <v>6</v>
      </c>
      <c r="I621" s="5">
        <v>2</v>
      </c>
      <c r="J621" s="5">
        <v>1</v>
      </c>
      <c r="K621" s="5">
        <v>0</v>
      </c>
      <c r="L621" s="5">
        <v>0</v>
      </c>
    </row>
    <row r="622" spans="1:12" ht="13">
      <c r="A622" s="20" t="s">
        <v>296</v>
      </c>
      <c r="B622" s="5">
        <v>1497</v>
      </c>
      <c r="C622" s="6">
        <f t="shared" si="8"/>
        <v>2.3388277222681857E-3</v>
      </c>
      <c r="D622" s="19">
        <f t="shared" si="9"/>
        <v>1470</v>
      </c>
      <c r="E622" s="5">
        <v>1058</v>
      </c>
      <c r="F622" s="5">
        <v>226</v>
      </c>
      <c r="G622" s="5">
        <v>64</v>
      </c>
      <c r="H622" s="5">
        <v>33</v>
      </c>
      <c r="I622" s="5">
        <v>41</v>
      </c>
      <c r="J622" s="5">
        <v>20</v>
      </c>
      <c r="K622" s="5">
        <v>15</v>
      </c>
      <c r="L622" s="5">
        <v>13</v>
      </c>
    </row>
    <row r="623" spans="1:12" ht="13" hidden="1">
      <c r="A623" s="20" t="s">
        <v>297</v>
      </c>
      <c r="B623" s="5">
        <v>971</v>
      </c>
      <c r="C623" s="6">
        <f t="shared" si="8"/>
        <v>1.5401260103099345E-3</v>
      </c>
      <c r="D623" s="19">
        <f t="shared" si="9"/>
        <v>968</v>
      </c>
      <c r="E623" s="5">
        <v>732</v>
      </c>
      <c r="F623" s="5">
        <v>140</v>
      </c>
      <c r="G623" s="5">
        <v>38</v>
      </c>
      <c r="H623" s="5">
        <v>23</v>
      </c>
      <c r="I623" s="5">
        <v>23</v>
      </c>
      <c r="J623" s="5">
        <v>7</v>
      </c>
      <c r="K623" s="5">
        <v>4</v>
      </c>
      <c r="L623" s="5">
        <v>1</v>
      </c>
    </row>
    <row r="624" spans="1:12" ht="13" hidden="1">
      <c r="A624" s="20" t="s">
        <v>298</v>
      </c>
      <c r="B624" s="5">
        <v>109</v>
      </c>
      <c r="C624" s="6">
        <f t="shared" si="8"/>
        <v>1.4001145548272131E-4</v>
      </c>
      <c r="D624" s="19">
        <f t="shared" si="9"/>
        <v>88</v>
      </c>
      <c r="E624" s="5">
        <v>25</v>
      </c>
      <c r="F624" s="5">
        <v>16</v>
      </c>
      <c r="G624" s="5">
        <v>9</v>
      </c>
      <c r="H624" s="5">
        <v>1</v>
      </c>
      <c r="I624" s="5">
        <v>8</v>
      </c>
      <c r="J624" s="5">
        <v>9</v>
      </c>
      <c r="K624" s="5">
        <v>9</v>
      </c>
      <c r="L624" s="5">
        <v>11</v>
      </c>
    </row>
    <row r="625" spans="1:12" ht="13" hidden="1">
      <c r="A625" s="20" t="s">
        <v>299</v>
      </c>
      <c r="B625" s="5">
        <v>417</v>
      </c>
      <c r="C625" s="6">
        <f t="shared" si="8"/>
        <v>6.586902564755298E-4</v>
      </c>
      <c r="D625" s="19">
        <f t="shared" si="9"/>
        <v>414</v>
      </c>
      <c r="E625" s="5">
        <v>301</v>
      </c>
      <c r="F625" s="5">
        <v>70</v>
      </c>
      <c r="G625" s="5">
        <v>17</v>
      </c>
      <c r="H625" s="5">
        <v>9</v>
      </c>
      <c r="I625" s="5">
        <v>10</v>
      </c>
      <c r="J625" s="5">
        <v>4</v>
      </c>
      <c r="K625" s="5">
        <v>2</v>
      </c>
      <c r="L625" s="5">
        <v>1</v>
      </c>
    </row>
    <row r="626" spans="1:12" ht="26">
      <c r="A626" s="20" t="s">
        <v>300</v>
      </c>
      <c r="B626" s="5">
        <v>2787</v>
      </c>
      <c r="C626" s="6">
        <f t="shared" si="8"/>
        <v>4.4294533189079104E-3</v>
      </c>
      <c r="D626" s="19">
        <f t="shared" si="9"/>
        <v>2784</v>
      </c>
      <c r="E626" s="5">
        <v>1530</v>
      </c>
      <c r="F626" s="5">
        <v>813</v>
      </c>
      <c r="G626" s="5">
        <v>224</v>
      </c>
      <c r="H626" s="5">
        <v>85</v>
      </c>
      <c r="I626" s="5">
        <v>74</v>
      </c>
      <c r="J626" s="5">
        <v>29</v>
      </c>
      <c r="K626" s="5">
        <v>22</v>
      </c>
      <c r="L626" s="5">
        <v>7</v>
      </c>
    </row>
    <row r="627" spans="1:12" ht="13" hidden="1">
      <c r="A627" s="20" t="s">
        <v>301</v>
      </c>
      <c r="B627" s="5">
        <v>1726</v>
      </c>
      <c r="C627" s="6">
        <f t="shared" si="8"/>
        <v>2.7429516960478587E-3</v>
      </c>
      <c r="D627" s="19">
        <f t="shared" si="9"/>
        <v>1724</v>
      </c>
      <c r="E627" s="5">
        <v>625</v>
      </c>
      <c r="F627" s="5">
        <v>721</v>
      </c>
      <c r="G627" s="5">
        <v>201</v>
      </c>
      <c r="H627" s="5">
        <v>75</v>
      </c>
      <c r="I627" s="5">
        <v>60</v>
      </c>
      <c r="J627" s="5">
        <v>22</v>
      </c>
      <c r="K627" s="5">
        <v>16</v>
      </c>
      <c r="L627" s="5">
        <v>4</v>
      </c>
    </row>
    <row r="628" spans="1:12" ht="26" hidden="1">
      <c r="A628" s="20" t="s">
        <v>302</v>
      </c>
      <c r="B628" s="5">
        <v>1061</v>
      </c>
      <c r="C628" s="6">
        <f t="shared" si="8"/>
        <v>1.6865016228600521E-3</v>
      </c>
      <c r="D628" s="19">
        <f t="shared" si="9"/>
        <v>1060</v>
      </c>
      <c r="E628" s="5">
        <v>905</v>
      </c>
      <c r="F628" s="5">
        <v>92</v>
      </c>
      <c r="G628" s="5">
        <v>23</v>
      </c>
      <c r="H628" s="5">
        <v>10</v>
      </c>
      <c r="I628" s="5">
        <v>14</v>
      </c>
      <c r="J628" s="5">
        <v>7</v>
      </c>
      <c r="K628" s="5">
        <v>6</v>
      </c>
      <c r="L628" s="5">
        <v>3</v>
      </c>
    </row>
    <row r="629" spans="1:12" ht="13">
      <c r="A629" s="20" t="s">
        <v>303</v>
      </c>
      <c r="B629" s="5">
        <v>562</v>
      </c>
      <c r="C629" s="6">
        <f t="shared" si="8"/>
        <v>8.7348055750015915E-4</v>
      </c>
      <c r="D629" s="19">
        <f t="shared" si="9"/>
        <v>549</v>
      </c>
      <c r="E629" s="5">
        <v>285</v>
      </c>
      <c r="F629" s="5">
        <v>106</v>
      </c>
      <c r="G629" s="5">
        <v>45</v>
      </c>
      <c r="H629" s="5">
        <v>31</v>
      </c>
      <c r="I629" s="5">
        <v>36</v>
      </c>
      <c r="J629" s="5">
        <v>25</v>
      </c>
      <c r="K629" s="5">
        <v>12</v>
      </c>
      <c r="L629" s="5">
        <v>9</v>
      </c>
    </row>
    <row r="630" spans="1:12" ht="13" hidden="1">
      <c r="A630" s="20" t="s">
        <v>304</v>
      </c>
      <c r="B630" s="5">
        <v>260</v>
      </c>
      <c r="C630" s="6">
        <f t="shared" si="8"/>
        <v>3.9775981671227645E-4</v>
      </c>
      <c r="D630" s="19">
        <f t="shared" si="9"/>
        <v>250</v>
      </c>
      <c r="E630" s="5">
        <v>106</v>
      </c>
      <c r="F630" s="5">
        <v>47</v>
      </c>
      <c r="G630" s="5">
        <v>28</v>
      </c>
      <c r="H630" s="5">
        <v>14</v>
      </c>
      <c r="I630" s="5">
        <v>25</v>
      </c>
      <c r="J630" s="5">
        <v>13</v>
      </c>
      <c r="K630" s="5">
        <v>9</v>
      </c>
      <c r="L630" s="5">
        <v>8</v>
      </c>
    </row>
    <row r="631" spans="1:12" ht="13" hidden="1">
      <c r="A631" s="20" t="s">
        <v>305</v>
      </c>
      <c r="B631" s="5">
        <v>89</v>
      </c>
      <c r="C631" s="6">
        <f t="shared" si="8"/>
        <v>1.3682937694902309E-4</v>
      </c>
      <c r="D631" s="19">
        <f t="shared" si="9"/>
        <v>86</v>
      </c>
      <c r="E631" s="5">
        <v>4</v>
      </c>
      <c r="F631" s="5">
        <v>30</v>
      </c>
      <c r="G631" s="5">
        <v>12</v>
      </c>
      <c r="H631" s="5">
        <v>15</v>
      </c>
      <c r="I631" s="5">
        <v>11</v>
      </c>
      <c r="J631" s="5">
        <v>10</v>
      </c>
      <c r="K631" s="5">
        <v>3</v>
      </c>
      <c r="L631" s="5">
        <v>1</v>
      </c>
    </row>
    <row r="632" spans="1:12" ht="13" hidden="1">
      <c r="A632" s="20" t="s">
        <v>306</v>
      </c>
      <c r="B632" s="5">
        <v>213</v>
      </c>
      <c r="C632" s="6">
        <f t="shared" si="8"/>
        <v>3.3889136383885956E-4</v>
      </c>
      <c r="D632" s="19">
        <f t="shared" si="9"/>
        <v>213</v>
      </c>
      <c r="E632" s="5">
        <v>175</v>
      </c>
      <c r="F632" s="5">
        <v>29</v>
      </c>
      <c r="G632" s="5">
        <v>5</v>
      </c>
      <c r="H632" s="5">
        <v>2</v>
      </c>
      <c r="I632" s="5">
        <v>0</v>
      </c>
      <c r="J632" s="5">
        <v>2</v>
      </c>
      <c r="K632" s="5">
        <v>0</v>
      </c>
      <c r="L632" s="5">
        <v>0</v>
      </c>
    </row>
    <row r="633" spans="1:12" ht="13">
      <c r="A633" s="20" t="s">
        <v>307</v>
      </c>
      <c r="B633" s="5">
        <v>8113</v>
      </c>
      <c r="C633" s="6">
        <f t="shared" si="8"/>
        <v>1.2795137784000508E-2</v>
      </c>
      <c r="D633" s="19">
        <f t="shared" si="9"/>
        <v>8042</v>
      </c>
      <c r="E633" s="5">
        <v>4132</v>
      </c>
      <c r="F633" s="5">
        <v>1806</v>
      </c>
      <c r="G633" s="5">
        <v>781</v>
      </c>
      <c r="H633" s="5">
        <v>442</v>
      </c>
      <c r="I633" s="5">
        <v>525</v>
      </c>
      <c r="J633" s="5">
        <v>218</v>
      </c>
      <c r="K633" s="5">
        <v>80</v>
      </c>
      <c r="L633" s="5">
        <v>58</v>
      </c>
    </row>
    <row r="634" spans="1:12" ht="13" hidden="1">
      <c r="A634" s="20" t="s">
        <v>308</v>
      </c>
      <c r="B634" s="5">
        <v>240</v>
      </c>
      <c r="C634" s="6">
        <f t="shared" si="8"/>
        <v>3.6434799210844526E-4</v>
      </c>
      <c r="D634" s="19">
        <f t="shared" si="9"/>
        <v>229</v>
      </c>
      <c r="E634" s="5">
        <v>7</v>
      </c>
      <c r="F634" s="5">
        <v>87</v>
      </c>
      <c r="G634" s="5">
        <v>61</v>
      </c>
      <c r="H634" s="5">
        <v>16</v>
      </c>
      <c r="I634" s="5">
        <v>24</v>
      </c>
      <c r="J634" s="5">
        <v>12</v>
      </c>
      <c r="K634" s="5">
        <v>13</v>
      </c>
      <c r="L634" s="5">
        <v>9</v>
      </c>
    </row>
    <row r="635" spans="1:12" ht="13" hidden="1">
      <c r="A635" s="20" t="s">
        <v>309</v>
      </c>
      <c r="B635" s="5">
        <v>5113</v>
      </c>
      <c r="C635" s="6">
        <f t="shared" si="8"/>
        <v>8.045885572455929E-3</v>
      </c>
      <c r="D635" s="19">
        <f t="shared" si="9"/>
        <v>5057</v>
      </c>
      <c r="E635" s="5">
        <v>2309</v>
      </c>
      <c r="F635" s="5">
        <v>1103</v>
      </c>
      <c r="G635" s="5">
        <v>534</v>
      </c>
      <c r="H635" s="5">
        <v>356</v>
      </c>
      <c r="I635" s="5">
        <v>457</v>
      </c>
      <c r="J635" s="5">
        <v>194</v>
      </c>
      <c r="K635" s="5">
        <v>59</v>
      </c>
      <c r="L635" s="5">
        <v>45</v>
      </c>
    </row>
    <row r="636" spans="1:12" ht="13" hidden="1">
      <c r="A636" s="20" t="s">
        <v>310</v>
      </c>
      <c r="B636" s="5">
        <v>2760</v>
      </c>
      <c r="C636" s="6">
        <f t="shared" si="8"/>
        <v>4.3849042194361353E-3</v>
      </c>
      <c r="D636" s="19">
        <f t="shared" si="9"/>
        <v>2756</v>
      </c>
      <c r="E636" s="5">
        <v>1816</v>
      </c>
      <c r="F636" s="5">
        <v>616</v>
      </c>
      <c r="G636" s="5">
        <v>186</v>
      </c>
      <c r="H636" s="5">
        <v>70</v>
      </c>
      <c r="I636" s="5">
        <v>44</v>
      </c>
      <c r="J636" s="5">
        <v>12</v>
      </c>
      <c r="K636" s="5">
        <v>8</v>
      </c>
      <c r="L636" s="5">
        <v>4</v>
      </c>
    </row>
    <row r="637" spans="1:12" ht="26">
      <c r="A637" s="20" t="s">
        <v>311</v>
      </c>
      <c r="B637" s="5">
        <v>24249</v>
      </c>
      <c r="C637" s="6">
        <f t="shared" si="8"/>
        <v>3.8507923375548911E-2</v>
      </c>
      <c r="D637" s="19">
        <f t="shared" si="9"/>
        <v>24203</v>
      </c>
      <c r="E637" s="5">
        <v>17011</v>
      </c>
      <c r="F637" s="5">
        <v>5090</v>
      </c>
      <c r="G637" s="5">
        <v>1071</v>
      </c>
      <c r="H637" s="5">
        <v>407</v>
      </c>
      <c r="I637" s="5">
        <v>390</v>
      </c>
      <c r="J637" s="5">
        <v>142</v>
      </c>
      <c r="K637" s="5">
        <v>49</v>
      </c>
      <c r="L637" s="5">
        <v>43</v>
      </c>
    </row>
    <row r="638" spans="1:12" ht="13" hidden="1">
      <c r="A638" s="20" t="s">
        <v>312</v>
      </c>
      <c r="B638" s="5">
        <v>2243</v>
      </c>
      <c r="C638" s="6">
        <f t="shared" si="8"/>
        <v>3.5623369184751481E-3</v>
      </c>
      <c r="D638" s="19">
        <f t="shared" si="9"/>
        <v>2239</v>
      </c>
      <c r="E638" s="5">
        <v>1685</v>
      </c>
      <c r="F638" s="5">
        <v>401</v>
      </c>
      <c r="G638" s="5">
        <v>82</v>
      </c>
      <c r="H638" s="5">
        <v>28</v>
      </c>
      <c r="I638" s="5">
        <v>29</v>
      </c>
      <c r="J638" s="5">
        <v>9</v>
      </c>
      <c r="K638" s="5">
        <v>3</v>
      </c>
      <c r="L638" s="5">
        <v>2</v>
      </c>
    </row>
    <row r="639" spans="1:12" ht="13" hidden="1">
      <c r="A639" s="20" t="s">
        <v>313</v>
      </c>
      <c r="B639" s="5">
        <v>89</v>
      </c>
      <c r="C639" s="6">
        <f t="shared" si="8"/>
        <v>1.2410106281423027E-4</v>
      </c>
      <c r="D639" s="19">
        <f t="shared" si="9"/>
        <v>78</v>
      </c>
      <c r="E639" s="5">
        <v>1</v>
      </c>
      <c r="F639" s="5">
        <v>18</v>
      </c>
      <c r="G639" s="5">
        <v>11</v>
      </c>
      <c r="H639" s="5">
        <v>10</v>
      </c>
      <c r="I639" s="5">
        <v>14</v>
      </c>
      <c r="J639" s="5">
        <v>11</v>
      </c>
      <c r="K639" s="5">
        <v>6</v>
      </c>
      <c r="L639" s="5">
        <v>7</v>
      </c>
    </row>
    <row r="640" spans="1:12" ht="13" hidden="1">
      <c r="A640" s="20" t="s">
        <v>314</v>
      </c>
      <c r="B640" s="5">
        <v>1602</v>
      </c>
      <c r="C640" s="6">
        <f t="shared" si="8"/>
        <v>2.5377076306243238E-3</v>
      </c>
      <c r="D640" s="19">
        <f t="shared" si="9"/>
        <v>1595</v>
      </c>
      <c r="E640" s="5">
        <v>1026</v>
      </c>
      <c r="F640" s="5">
        <v>353</v>
      </c>
      <c r="G640" s="5">
        <v>98</v>
      </c>
      <c r="H640" s="5">
        <v>37</v>
      </c>
      <c r="I640" s="5">
        <v>43</v>
      </c>
      <c r="J640" s="5">
        <v>20</v>
      </c>
      <c r="K640" s="5">
        <v>12</v>
      </c>
      <c r="L640" s="5">
        <v>6</v>
      </c>
    </row>
    <row r="641" spans="1:12" ht="13">
      <c r="A641" s="20" t="s">
        <v>315</v>
      </c>
      <c r="B641" s="5">
        <v>20315</v>
      </c>
      <c r="C641" s="6">
        <f t="shared" si="8"/>
        <v>3.2283777763635203E-2</v>
      </c>
      <c r="D641" s="19">
        <f t="shared" si="9"/>
        <v>20291</v>
      </c>
      <c r="E641" s="5">
        <v>14299</v>
      </c>
      <c r="F641" s="5">
        <v>4318</v>
      </c>
      <c r="G641" s="5">
        <v>880</v>
      </c>
      <c r="H641" s="5">
        <v>332</v>
      </c>
      <c r="I641" s="5">
        <v>304</v>
      </c>
      <c r="J641" s="5">
        <v>102</v>
      </c>
      <c r="K641" s="5">
        <v>28</v>
      </c>
      <c r="L641" s="5">
        <v>28</v>
      </c>
    </row>
    <row r="642" spans="1:12" ht="13">
      <c r="A642" s="20" t="s">
        <v>316</v>
      </c>
      <c r="B642" s="5">
        <v>19921</v>
      </c>
      <c r="C642" s="6">
        <f t="shared" si="8"/>
        <v>3.1555081779418313E-2</v>
      </c>
      <c r="D642" s="19">
        <f t="shared" si="9"/>
        <v>19833</v>
      </c>
      <c r="E642" s="5">
        <v>13392</v>
      </c>
      <c r="F642" s="5">
        <v>2799</v>
      </c>
      <c r="G642" s="5">
        <v>1322</v>
      </c>
      <c r="H642" s="5">
        <v>940</v>
      </c>
      <c r="I642" s="5">
        <v>545</v>
      </c>
      <c r="J642" s="5">
        <v>470</v>
      </c>
      <c r="K642" s="5">
        <v>227</v>
      </c>
      <c r="L642" s="5">
        <v>138</v>
      </c>
    </row>
    <row r="643" spans="1:12" ht="13" hidden="1">
      <c r="A643" s="20" t="s">
        <v>317</v>
      </c>
      <c r="B643" s="5">
        <v>632</v>
      </c>
      <c r="C643" s="6">
        <f t="shared" si="8"/>
        <v>9.9758162031438925E-4</v>
      </c>
      <c r="D643" s="19">
        <f t="shared" si="9"/>
        <v>627</v>
      </c>
      <c r="E643" s="5">
        <v>49</v>
      </c>
      <c r="F643" s="5">
        <v>116</v>
      </c>
      <c r="G643" s="5">
        <v>193</v>
      </c>
      <c r="H643" s="5">
        <v>133</v>
      </c>
      <c r="I643" s="5">
        <v>71</v>
      </c>
      <c r="J643" s="5">
        <v>42</v>
      </c>
      <c r="K643" s="5">
        <v>14</v>
      </c>
      <c r="L643" s="5">
        <v>9</v>
      </c>
    </row>
    <row r="644" spans="1:12" ht="13" hidden="1">
      <c r="A644" s="20" t="s">
        <v>318</v>
      </c>
      <c r="B644" s="5">
        <v>448</v>
      </c>
      <c r="C644" s="6">
        <f t="shared" si="8"/>
        <v>6.8892000254566277E-4</v>
      </c>
      <c r="D644" s="19">
        <f t="shared" si="9"/>
        <v>433</v>
      </c>
      <c r="E644" s="5">
        <v>163</v>
      </c>
      <c r="F644" s="5">
        <v>21</v>
      </c>
      <c r="G644" s="5">
        <v>6</v>
      </c>
      <c r="H644" s="5">
        <v>9</v>
      </c>
      <c r="I644" s="5">
        <v>18</v>
      </c>
      <c r="J644" s="5">
        <v>116</v>
      </c>
      <c r="K644" s="5">
        <v>64</v>
      </c>
      <c r="L644" s="5">
        <v>36</v>
      </c>
    </row>
    <row r="645" spans="1:12" ht="13" hidden="1">
      <c r="A645" s="20" t="s">
        <v>319</v>
      </c>
      <c r="B645" s="5">
        <v>2426</v>
      </c>
      <c r="C645" s="6">
        <f t="shared" si="8"/>
        <v>3.8200852797047029E-3</v>
      </c>
      <c r="D645" s="19">
        <f t="shared" si="9"/>
        <v>2401</v>
      </c>
      <c r="E645" s="5">
        <v>1770</v>
      </c>
      <c r="F645" s="5">
        <v>191</v>
      </c>
      <c r="G645" s="5">
        <v>80</v>
      </c>
      <c r="H645" s="5">
        <v>77</v>
      </c>
      <c r="I645" s="5">
        <v>69</v>
      </c>
      <c r="J645" s="5">
        <v>95</v>
      </c>
      <c r="K645" s="5">
        <v>66</v>
      </c>
      <c r="L645" s="5">
        <v>53</v>
      </c>
    </row>
    <row r="646" spans="1:12" ht="13" hidden="1">
      <c r="A646" s="20" t="s">
        <v>320</v>
      </c>
      <c r="B646" s="5">
        <v>1306</v>
      </c>
      <c r="C646" s="6">
        <f t="shared" si="8"/>
        <v>2.0476675364347993E-3</v>
      </c>
      <c r="D646" s="19">
        <f t="shared" si="9"/>
        <v>1287</v>
      </c>
      <c r="E646" s="5">
        <v>1022</v>
      </c>
      <c r="F646" s="5">
        <v>165</v>
      </c>
      <c r="G646" s="5">
        <v>23</v>
      </c>
      <c r="H646" s="5">
        <v>24</v>
      </c>
      <c r="I646" s="5">
        <v>14</v>
      </c>
      <c r="J646" s="5">
        <v>18</v>
      </c>
      <c r="K646" s="5">
        <v>10</v>
      </c>
      <c r="L646" s="5">
        <v>11</v>
      </c>
    </row>
    <row r="647" spans="1:12" ht="13" hidden="1">
      <c r="A647" s="20" t="s">
        <v>321</v>
      </c>
      <c r="B647" s="5">
        <v>14955</v>
      </c>
      <c r="C647" s="6">
        <f t="shared" si="8"/>
        <v>2.3755807293324001E-2</v>
      </c>
      <c r="D647" s="19">
        <f t="shared" si="9"/>
        <v>14931</v>
      </c>
      <c r="E647" s="5">
        <v>10346</v>
      </c>
      <c r="F647" s="5">
        <v>2257</v>
      </c>
      <c r="G647" s="5">
        <v>990</v>
      </c>
      <c r="H647" s="5">
        <v>679</v>
      </c>
      <c r="I647" s="5">
        <v>364</v>
      </c>
      <c r="J647" s="5">
        <v>196</v>
      </c>
      <c r="K647" s="5">
        <v>72</v>
      </c>
      <c r="L647" s="5">
        <v>27</v>
      </c>
    </row>
    <row r="648" spans="1:12" ht="13" hidden="1">
      <c r="A648" s="20" t="s">
        <v>322</v>
      </c>
      <c r="B648" s="5">
        <v>154</v>
      </c>
      <c r="C648" s="6">
        <f t="shared" si="8"/>
        <v>2.4502004709476232E-4</v>
      </c>
      <c r="D648" s="19">
        <f t="shared" si="9"/>
        <v>154</v>
      </c>
      <c r="E648" s="5">
        <v>42</v>
      </c>
      <c r="F648" s="5">
        <v>49</v>
      </c>
      <c r="G648" s="5">
        <v>30</v>
      </c>
      <c r="H648" s="5">
        <v>18</v>
      </c>
      <c r="I648" s="5">
        <v>9</v>
      </c>
      <c r="J648" s="5">
        <v>3</v>
      </c>
      <c r="K648" s="5">
        <v>1</v>
      </c>
      <c r="L648" s="5">
        <v>2</v>
      </c>
    </row>
    <row r="649" spans="1:12" ht="13">
      <c r="A649" s="20" t="s">
        <v>323</v>
      </c>
      <c r="B649" s="5">
        <v>33537</v>
      </c>
      <c r="C649" s="6">
        <f t="shared" si="8"/>
        <v>5.3228218672436836E-2</v>
      </c>
      <c r="D649" s="19">
        <f t="shared" si="9"/>
        <v>33455</v>
      </c>
      <c r="E649" s="5">
        <v>25363</v>
      </c>
      <c r="F649" s="5">
        <v>5289</v>
      </c>
      <c r="G649" s="5">
        <v>1610</v>
      </c>
      <c r="H649" s="5">
        <v>592</v>
      </c>
      <c r="I649" s="5">
        <v>339</v>
      </c>
      <c r="J649" s="5">
        <v>159</v>
      </c>
      <c r="K649" s="5">
        <v>69</v>
      </c>
      <c r="L649" s="5">
        <v>34</v>
      </c>
    </row>
    <row r="650" spans="1:12" ht="13">
      <c r="A650" s="20" t="s">
        <v>324</v>
      </c>
      <c r="B650" s="5">
        <v>165</v>
      </c>
      <c r="C650" s="6">
        <f t="shared" si="8"/>
        <v>1.7660535862025074E-4</v>
      </c>
      <c r="D650" s="19">
        <f t="shared" si="9"/>
        <v>111</v>
      </c>
      <c r="E650" s="5">
        <v>11</v>
      </c>
      <c r="F650" s="5">
        <v>28</v>
      </c>
      <c r="G650" s="5">
        <v>20</v>
      </c>
      <c r="H650" s="5">
        <v>7</v>
      </c>
      <c r="I650" s="5">
        <v>7</v>
      </c>
      <c r="J650" s="5">
        <v>9</v>
      </c>
      <c r="K650" s="5">
        <v>13</v>
      </c>
      <c r="L650" s="5">
        <v>16</v>
      </c>
    </row>
    <row r="651" spans="1:12" ht="13" hidden="1">
      <c r="A651" s="20" t="s">
        <v>325</v>
      </c>
      <c r="B651" s="5">
        <v>17264</v>
      </c>
      <c r="C651" s="6">
        <f t="shared" si="8"/>
        <v>2.7447018392413924E-2</v>
      </c>
      <c r="D651" s="19">
        <f t="shared" si="9"/>
        <v>17251</v>
      </c>
      <c r="E651" s="5">
        <v>11543</v>
      </c>
      <c r="F651" s="5">
        <v>3653</v>
      </c>
      <c r="G651" s="5">
        <v>1239</v>
      </c>
      <c r="H651" s="5">
        <v>453</v>
      </c>
      <c r="I651" s="5">
        <v>227</v>
      </c>
      <c r="J651" s="5">
        <v>94</v>
      </c>
      <c r="K651" s="5">
        <v>36</v>
      </c>
      <c r="L651" s="5">
        <v>6</v>
      </c>
    </row>
    <row r="652" spans="1:12" ht="13">
      <c r="A652" s="20" t="s">
        <v>326</v>
      </c>
      <c r="B652" s="5">
        <v>16108</v>
      </c>
      <c r="C652" s="6">
        <f t="shared" si="8"/>
        <v>2.560459492140266E-2</v>
      </c>
      <c r="D652" s="19">
        <f t="shared" si="9"/>
        <v>16093</v>
      </c>
      <c r="E652" s="5">
        <v>13809</v>
      </c>
      <c r="F652" s="5">
        <v>1608</v>
      </c>
      <c r="G652" s="5">
        <v>351</v>
      </c>
      <c r="H652" s="5">
        <v>132</v>
      </c>
      <c r="I652" s="5">
        <v>105</v>
      </c>
      <c r="J652" s="5">
        <v>56</v>
      </c>
      <c r="K652" s="5">
        <v>20</v>
      </c>
      <c r="L652" s="5">
        <v>12</v>
      </c>
    </row>
    <row r="653" spans="1:12" ht="13">
      <c r="A653" s="20" t="s">
        <v>327</v>
      </c>
      <c r="B653" s="5">
        <v>978</v>
      </c>
      <c r="C653" s="6">
        <f t="shared" si="8"/>
        <v>1.4939858715713103E-3</v>
      </c>
      <c r="D653" s="19">
        <f t="shared" si="9"/>
        <v>939</v>
      </c>
      <c r="E653" s="5">
        <v>108</v>
      </c>
      <c r="F653" s="5">
        <v>31</v>
      </c>
      <c r="G653" s="5">
        <v>26</v>
      </c>
      <c r="H653" s="5">
        <v>56</v>
      </c>
      <c r="I653" s="5">
        <v>223</v>
      </c>
      <c r="J653" s="5">
        <v>323</v>
      </c>
      <c r="K653" s="5">
        <v>133</v>
      </c>
      <c r="L653" s="5">
        <v>39</v>
      </c>
    </row>
    <row r="654" spans="1:12" ht="26" hidden="1">
      <c r="A654" s="20" t="s">
        <v>328</v>
      </c>
      <c r="B654" s="5">
        <v>351</v>
      </c>
      <c r="C654" s="6">
        <f t="shared" si="8"/>
        <v>5.4413542926239425E-4</v>
      </c>
      <c r="D654" s="19">
        <f t="shared" si="9"/>
        <v>342</v>
      </c>
      <c r="E654" s="5">
        <v>0</v>
      </c>
      <c r="F654" s="5">
        <v>4</v>
      </c>
      <c r="G654" s="5">
        <v>5</v>
      </c>
      <c r="H654" s="5">
        <v>29</v>
      </c>
      <c r="I654" s="5">
        <v>111</v>
      </c>
      <c r="J654" s="5">
        <v>141</v>
      </c>
      <c r="K654" s="5">
        <v>45</v>
      </c>
      <c r="L654" s="5">
        <v>7</v>
      </c>
    </row>
    <row r="655" spans="1:12" ht="26" hidden="1">
      <c r="A655" s="20" t="s">
        <v>329</v>
      </c>
      <c r="B655" s="5">
        <v>109</v>
      </c>
      <c r="C655" s="6">
        <f t="shared" si="8"/>
        <v>1.6228600521860879E-4</v>
      </c>
      <c r="D655" s="19">
        <f t="shared" si="9"/>
        <v>102</v>
      </c>
      <c r="E655" s="5">
        <v>0</v>
      </c>
      <c r="F655" s="5">
        <v>5</v>
      </c>
      <c r="G655" s="5">
        <v>6</v>
      </c>
      <c r="H655" s="5">
        <v>7</v>
      </c>
      <c r="I655" s="5">
        <v>26</v>
      </c>
      <c r="J655" s="5">
        <v>35</v>
      </c>
      <c r="K655" s="5">
        <v>15</v>
      </c>
      <c r="L655" s="5">
        <v>8</v>
      </c>
    </row>
    <row r="656" spans="1:12" ht="26" hidden="1">
      <c r="A656" s="20" t="s">
        <v>330</v>
      </c>
      <c r="B656" s="5">
        <v>461</v>
      </c>
      <c r="C656" s="6">
        <f t="shared" si="8"/>
        <v>7.0483039521415387E-4</v>
      </c>
      <c r="D656" s="19">
        <f t="shared" si="9"/>
        <v>443</v>
      </c>
      <c r="E656" s="5">
        <v>108</v>
      </c>
      <c r="F656" s="5">
        <v>14</v>
      </c>
      <c r="G656" s="5">
        <v>8</v>
      </c>
      <c r="H656" s="5">
        <v>16</v>
      </c>
      <c r="I656" s="5">
        <v>77</v>
      </c>
      <c r="J656" s="5">
        <v>134</v>
      </c>
      <c r="K656" s="5">
        <v>68</v>
      </c>
      <c r="L656" s="5">
        <v>18</v>
      </c>
    </row>
    <row r="657" spans="1:12" ht="13" hidden="1">
      <c r="A657" s="20" t="s">
        <v>331</v>
      </c>
      <c r="B657" s="5">
        <v>57</v>
      </c>
      <c r="C657" s="6">
        <f t="shared" si="8"/>
        <v>8.2734041876153503E-5</v>
      </c>
      <c r="D657" s="19">
        <f t="shared" si="9"/>
        <v>52</v>
      </c>
      <c r="E657" s="5">
        <v>0</v>
      </c>
      <c r="F657" s="5">
        <v>8</v>
      </c>
      <c r="G657" s="5">
        <v>7</v>
      </c>
      <c r="H657" s="5">
        <v>4</v>
      </c>
      <c r="I657" s="5">
        <v>9</v>
      </c>
      <c r="J657" s="5">
        <v>13</v>
      </c>
      <c r="K657" s="5">
        <v>5</v>
      </c>
      <c r="L657" s="5">
        <v>6</v>
      </c>
    </row>
    <row r="658" spans="1:12" ht="13">
      <c r="A658" s="20" t="s">
        <v>332</v>
      </c>
      <c r="B658" s="5">
        <v>1012</v>
      </c>
      <c r="C658" s="6">
        <f t="shared" si="8"/>
        <v>1.5608095207789729E-3</v>
      </c>
      <c r="D658" s="19">
        <f t="shared" si="9"/>
        <v>981</v>
      </c>
      <c r="E658" s="5">
        <v>281</v>
      </c>
      <c r="F658" s="5">
        <v>179</v>
      </c>
      <c r="G658" s="5">
        <v>120</v>
      </c>
      <c r="H658" s="5">
        <v>102</v>
      </c>
      <c r="I658" s="5">
        <v>116</v>
      </c>
      <c r="J658" s="5">
        <v>97</v>
      </c>
      <c r="K658" s="5">
        <v>42</v>
      </c>
      <c r="L658" s="5">
        <v>44</v>
      </c>
    </row>
    <row r="659" spans="1:12" ht="26" hidden="1">
      <c r="A659" s="20" t="s">
        <v>333</v>
      </c>
      <c r="B659" s="5">
        <v>533</v>
      </c>
      <c r="C659" s="6">
        <f t="shared" si="8"/>
        <v>8.2574937949468597E-4</v>
      </c>
      <c r="D659" s="19">
        <f t="shared" si="9"/>
        <v>519</v>
      </c>
      <c r="E659" s="5">
        <v>138</v>
      </c>
      <c r="F659" s="5">
        <v>75</v>
      </c>
      <c r="G659" s="5">
        <v>57</v>
      </c>
      <c r="H659" s="5">
        <v>56</v>
      </c>
      <c r="I659" s="5">
        <v>68</v>
      </c>
      <c r="J659" s="5">
        <v>65</v>
      </c>
      <c r="K659" s="5">
        <v>30</v>
      </c>
      <c r="L659" s="5">
        <v>30</v>
      </c>
    </row>
    <row r="660" spans="1:12" ht="13" hidden="1">
      <c r="A660" s="20" t="s">
        <v>334</v>
      </c>
      <c r="B660" s="5">
        <v>479</v>
      </c>
      <c r="C660" s="6">
        <f t="shared" si="8"/>
        <v>7.3506014128428695E-4</v>
      </c>
      <c r="D660" s="19">
        <f t="shared" si="9"/>
        <v>462</v>
      </c>
      <c r="E660" s="5">
        <v>143</v>
      </c>
      <c r="F660" s="5">
        <v>104</v>
      </c>
      <c r="G660" s="5">
        <v>63</v>
      </c>
      <c r="H660" s="5">
        <v>46</v>
      </c>
      <c r="I660" s="5">
        <v>48</v>
      </c>
      <c r="J660" s="5">
        <v>32</v>
      </c>
      <c r="K660" s="5">
        <v>12</v>
      </c>
      <c r="L660" s="5">
        <v>14</v>
      </c>
    </row>
    <row r="661" spans="1:12" ht="13">
      <c r="A661" s="20" t="s">
        <v>335</v>
      </c>
      <c r="B661" s="5">
        <v>9352</v>
      </c>
      <c r="C661" s="6">
        <f t="shared" si="8"/>
        <v>1.4866670909438044E-2</v>
      </c>
      <c r="D661" s="19">
        <f t="shared" si="9"/>
        <v>9344</v>
      </c>
      <c r="E661" s="5">
        <v>7900</v>
      </c>
      <c r="F661" s="5">
        <v>874</v>
      </c>
      <c r="G661" s="5">
        <v>246</v>
      </c>
      <c r="H661" s="5">
        <v>133</v>
      </c>
      <c r="I661" s="5">
        <v>103</v>
      </c>
      <c r="J661" s="5">
        <v>50</v>
      </c>
      <c r="K661" s="5">
        <v>23</v>
      </c>
      <c r="L661" s="5">
        <v>15</v>
      </c>
    </row>
    <row r="662" spans="1:12" ht="13" hidden="1">
      <c r="A662" s="20" t="s">
        <v>336</v>
      </c>
      <c r="B662" s="5">
        <v>9352</v>
      </c>
      <c r="C662" s="6">
        <f t="shared" si="8"/>
        <v>1.4866670909438044E-2</v>
      </c>
      <c r="D662" s="19">
        <f t="shared" si="9"/>
        <v>9344</v>
      </c>
      <c r="E662" s="5">
        <v>7900</v>
      </c>
      <c r="F662" s="5">
        <v>874</v>
      </c>
      <c r="G662" s="5">
        <v>246</v>
      </c>
      <c r="H662" s="5">
        <v>133</v>
      </c>
      <c r="I662" s="5">
        <v>103</v>
      </c>
      <c r="J662" s="5">
        <v>50</v>
      </c>
      <c r="K662" s="5">
        <v>23</v>
      </c>
      <c r="L662" s="5">
        <v>15</v>
      </c>
    </row>
    <row r="663" spans="1:12" ht="26">
      <c r="A663" s="20" t="s">
        <v>337</v>
      </c>
      <c r="B663" s="5">
        <v>1335</v>
      </c>
      <c r="C663" s="6">
        <f t="shared" si="8"/>
        <v>2.1176732641761597E-3</v>
      </c>
      <c r="D663" s="19">
        <f t="shared" si="9"/>
        <v>1331</v>
      </c>
      <c r="E663" s="5">
        <v>908</v>
      </c>
      <c r="F663" s="5">
        <v>238</v>
      </c>
      <c r="G663" s="5">
        <v>82</v>
      </c>
      <c r="H663" s="5">
        <v>36</v>
      </c>
      <c r="I663" s="5">
        <v>40</v>
      </c>
      <c r="J663" s="5">
        <v>21</v>
      </c>
      <c r="K663" s="5">
        <v>3</v>
      </c>
      <c r="L663" s="5">
        <v>3</v>
      </c>
    </row>
    <row r="664" spans="1:12" ht="26" hidden="1">
      <c r="A664" s="20" t="s">
        <v>338</v>
      </c>
      <c r="B664" s="5">
        <v>1335</v>
      </c>
      <c r="C664" s="6">
        <f t="shared" si="8"/>
        <v>2.1176732641761597E-3</v>
      </c>
      <c r="D664" s="19">
        <f t="shared" si="9"/>
        <v>1331</v>
      </c>
      <c r="E664" s="5">
        <v>908</v>
      </c>
      <c r="F664" s="5">
        <v>238</v>
      </c>
      <c r="G664" s="5">
        <v>82</v>
      </c>
      <c r="H664" s="5">
        <v>36</v>
      </c>
      <c r="I664" s="5">
        <v>40</v>
      </c>
      <c r="J664" s="5">
        <v>21</v>
      </c>
      <c r="K664" s="5">
        <v>3</v>
      </c>
      <c r="L664" s="5">
        <v>3</v>
      </c>
    </row>
    <row r="665" spans="1:12" ht="13">
      <c r="A665" s="20" t="s">
        <v>339</v>
      </c>
      <c r="B665" s="5">
        <v>1319</v>
      </c>
      <c r="C665" s="6">
        <f t="shared" ref="C665:C678" si="10">D665/$D$345</f>
        <v>2.0890345573728757E-3</v>
      </c>
      <c r="D665" s="19">
        <f t="shared" si="9"/>
        <v>1313</v>
      </c>
      <c r="E665" s="5">
        <v>492</v>
      </c>
      <c r="F665" s="5">
        <v>631</v>
      </c>
      <c r="G665" s="5">
        <v>122</v>
      </c>
      <c r="H665" s="5">
        <v>33</v>
      </c>
      <c r="I665" s="5">
        <v>20</v>
      </c>
      <c r="J665" s="5">
        <v>11</v>
      </c>
      <c r="K665" s="5">
        <v>2</v>
      </c>
      <c r="L665" s="5">
        <v>2</v>
      </c>
    </row>
    <row r="666" spans="1:12" ht="13" hidden="1">
      <c r="A666" s="20" t="s">
        <v>340</v>
      </c>
      <c r="B666" s="5">
        <v>1319</v>
      </c>
      <c r="C666" s="6">
        <f t="shared" si="10"/>
        <v>2.0890345573728757E-3</v>
      </c>
      <c r="D666" s="19">
        <f t="shared" ref="D666:D678" si="11">SUM(E666:L666)</f>
        <v>1313</v>
      </c>
      <c r="E666" s="5">
        <v>492</v>
      </c>
      <c r="F666" s="5">
        <v>631</v>
      </c>
      <c r="G666" s="5">
        <v>122</v>
      </c>
      <c r="H666" s="5">
        <v>33</v>
      </c>
      <c r="I666" s="5">
        <v>20</v>
      </c>
      <c r="J666" s="5">
        <v>11</v>
      </c>
      <c r="K666" s="5">
        <v>2</v>
      </c>
      <c r="L666" s="5">
        <v>2</v>
      </c>
    </row>
    <row r="667" spans="1:12" ht="13">
      <c r="A667" s="20" t="s">
        <v>341</v>
      </c>
      <c r="B667" s="5">
        <v>7346</v>
      </c>
      <c r="C667" s="6">
        <f t="shared" si="10"/>
        <v>1.1628906001400114E-2</v>
      </c>
      <c r="D667" s="19">
        <f t="shared" si="11"/>
        <v>7309</v>
      </c>
      <c r="E667" s="5">
        <v>2974</v>
      </c>
      <c r="F667" s="5">
        <v>2120</v>
      </c>
      <c r="G667" s="5">
        <v>956</v>
      </c>
      <c r="H667" s="5">
        <v>518</v>
      </c>
      <c r="I667" s="5">
        <v>448</v>
      </c>
      <c r="J667" s="5">
        <v>178</v>
      </c>
      <c r="K667" s="5">
        <v>72</v>
      </c>
      <c r="L667" s="5">
        <v>43</v>
      </c>
    </row>
    <row r="668" spans="1:12" ht="13" hidden="1">
      <c r="A668" s="20" t="s">
        <v>342</v>
      </c>
      <c r="B668" s="5">
        <v>5395</v>
      </c>
      <c r="C668" s="6">
        <f t="shared" si="10"/>
        <v>8.5454719022465472E-3</v>
      </c>
      <c r="D668" s="19">
        <f t="shared" si="11"/>
        <v>5371</v>
      </c>
      <c r="E668" s="5">
        <v>2220</v>
      </c>
      <c r="F668" s="5">
        <v>1518</v>
      </c>
      <c r="G668" s="5">
        <v>709</v>
      </c>
      <c r="H668" s="5">
        <v>382</v>
      </c>
      <c r="I668" s="5">
        <v>337</v>
      </c>
      <c r="J668" s="5">
        <v>124</v>
      </c>
      <c r="K668" s="5">
        <v>55</v>
      </c>
      <c r="L668" s="5">
        <v>26</v>
      </c>
    </row>
    <row r="669" spans="1:12" ht="13" hidden="1">
      <c r="A669" s="20" t="s">
        <v>343</v>
      </c>
      <c r="B669" s="5">
        <v>1951</v>
      </c>
      <c r="C669" s="6">
        <f t="shared" si="10"/>
        <v>3.0834340991535672E-3</v>
      </c>
      <c r="D669" s="19">
        <f t="shared" si="11"/>
        <v>1938</v>
      </c>
      <c r="E669" s="5">
        <v>754</v>
      </c>
      <c r="F669" s="5">
        <v>602</v>
      </c>
      <c r="G669" s="5">
        <v>247</v>
      </c>
      <c r="H669" s="5">
        <v>136</v>
      </c>
      <c r="I669" s="5">
        <v>111</v>
      </c>
      <c r="J669" s="5">
        <v>54</v>
      </c>
      <c r="K669" s="5">
        <v>17</v>
      </c>
      <c r="L669" s="5">
        <v>17</v>
      </c>
    </row>
    <row r="670" spans="1:12" ht="13">
      <c r="A670" s="20" t="s">
        <v>344</v>
      </c>
      <c r="B670" s="5">
        <v>9012</v>
      </c>
      <c r="C670" s="6">
        <f t="shared" si="10"/>
        <v>1.4312989244574557E-2</v>
      </c>
      <c r="D670" s="19">
        <f t="shared" si="11"/>
        <v>8996</v>
      </c>
      <c r="E670" s="5">
        <v>4657</v>
      </c>
      <c r="F670" s="5">
        <v>2329</v>
      </c>
      <c r="G670" s="5">
        <v>940</v>
      </c>
      <c r="H670" s="5">
        <v>510</v>
      </c>
      <c r="I670" s="5">
        <v>307</v>
      </c>
      <c r="J670" s="5">
        <v>195</v>
      </c>
      <c r="K670" s="5">
        <v>32</v>
      </c>
      <c r="L670" s="5">
        <v>26</v>
      </c>
    </row>
    <row r="671" spans="1:12" ht="26" hidden="1">
      <c r="A671" s="20" t="s">
        <v>345</v>
      </c>
      <c r="B671" s="5">
        <v>499</v>
      </c>
      <c r="C671" s="6">
        <f t="shared" si="10"/>
        <v>7.9392859415770378E-4</v>
      </c>
      <c r="D671" s="19">
        <f t="shared" si="11"/>
        <v>499</v>
      </c>
      <c r="E671" s="5">
        <v>115</v>
      </c>
      <c r="F671" s="5">
        <v>188</v>
      </c>
      <c r="G671" s="5">
        <v>84</v>
      </c>
      <c r="H671" s="5">
        <v>61</v>
      </c>
      <c r="I671" s="5">
        <v>29</v>
      </c>
      <c r="J671" s="5">
        <v>15</v>
      </c>
      <c r="K671" s="5">
        <v>4</v>
      </c>
      <c r="L671" s="5">
        <v>3</v>
      </c>
    </row>
    <row r="672" spans="1:12" ht="13" hidden="1">
      <c r="A672" s="20" t="s">
        <v>346</v>
      </c>
      <c r="B672" s="5">
        <v>46</v>
      </c>
      <c r="C672" s="6">
        <f t="shared" si="10"/>
        <v>7.0005727741360654E-5</v>
      </c>
      <c r="D672" s="19">
        <f t="shared" si="11"/>
        <v>44</v>
      </c>
      <c r="E672" s="5">
        <v>15</v>
      </c>
      <c r="F672" s="5">
        <v>15</v>
      </c>
      <c r="G672" s="5">
        <v>6</v>
      </c>
      <c r="H672" s="5">
        <v>4</v>
      </c>
      <c r="I672" s="5">
        <v>3</v>
      </c>
      <c r="J672" s="5">
        <v>1</v>
      </c>
      <c r="K672" s="5">
        <v>0</v>
      </c>
      <c r="L672" s="5">
        <v>0</v>
      </c>
    </row>
    <row r="673" spans="1:12" ht="13" hidden="1">
      <c r="A673" s="20" t="s">
        <v>347</v>
      </c>
      <c r="B673" s="5">
        <v>8467</v>
      </c>
      <c r="C673" s="6">
        <f t="shared" si="10"/>
        <v>1.3449054922675492E-2</v>
      </c>
      <c r="D673" s="19">
        <f t="shared" si="11"/>
        <v>8453</v>
      </c>
      <c r="E673" s="5">
        <v>4527</v>
      </c>
      <c r="F673" s="5">
        <v>2126</v>
      </c>
      <c r="G673" s="5">
        <v>850</v>
      </c>
      <c r="H673" s="5">
        <v>445</v>
      </c>
      <c r="I673" s="5">
        <v>275</v>
      </c>
      <c r="J673" s="5">
        <v>179</v>
      </c>
      <c r="K673" s="5">
        <v>28</v>
      </c>
      <c r="L673" s="5">
        <v>23</v>
      </c>
    </row>
    <row r="674" spans="1:12" ht="26">
      <c r="A674" s="20" t="s">
        <v>348</v>
      </c>
      <c r="B674" s="5">
        <v>5172</v>
      </c>
      <c r="C674" s="6">
        <f t="shared" si="10"/>
        <v>8.2256730096098764E-3</v>
      </c>
      <c r="D674" s="19">
        <f t="shared" si="11"/>
        <v>5170</v>
      </c>
      <c r="E674" s="5">
        <v>3770</v>
      </c>
      <c r="F674" s="5">
        <v>1037</v>
      </c>
      <c r="G674" s="5">
        <v>206</v>
      </c>
      <c r="H674" s="5">
        <v>103</v>
      </c>
      <c r="I674" s="5">
        <v>35</v>
      </c>
      <c r="J674" s="5">
        <v>14</v>
      </c>
      <c r="K674" s="5">
        <v>4</v>
      </c>
      <c r="L674" s="5">
        <v>1</v>
      </c>
    </row>
    <row r="675" spans="1:12" ht="13" hidden="1">
      <c r="A675" s="20" t="s">
        <v>349</v>
      </c>
      <c r="B675" s="5">
        <v>2043</v>
      </c>
      <c r="C675" s="6">
        <f t="shared" si="10"/>
        <v>3.2489021829058742E-3</v>
      </c>
      <c r="D675" s="19">
        <f t="shared" si="11"/>
        <v>2042</v>
      </c>
      <c r="E675" s="5">
        <v>1592</v>
      </c>
      <c r="F675" s="5">
        <v>343</v>
      </c>
      <c r="G675" s="5">
        <v>63</v>
      </c>
      <c r="H675" s="5">
        <v>24</v>
      </c>
      <c r="I675" s="5">
        <v>14</v>
      </c>
      <c r="J675" s="5">
        <v>4</v>
      </c>
      <c r="K675" s="5">
        <v>2</v>
      </c>
      <c r="L675" s="5">
        <v>0</v>
      </c>
    </row>
    <row r="676" spans="1:12" ht="13" hidden="1">
      <c r="A676" s="20" t="s">
        <v>350</v>
      </c>
      <c r="B676" s="5">
        <v>3129</v>
      </c>
      <c r="C676" s="6">
        <f t="shared" si="10"/>
        <v>4.9767708267040031E-3</v>
      </c>
      <c r="D676" s="19">
        <f t="shared" si="11"/>
        <v>3128</v>
      </c>
      <c r="E676" s="5">
        <v>2178</v>
      </c>
      <c r="F676" s="5">
        <v>694</v>
      </c>
      <c r="G676" s="5">
        <v>143</v>
      </c>
      <c r="H676" s="5">
        <v>79</v>
      </c>
      <c r="I676" s="5">
        <v>21</v>
      </c>
      <c r="J676" s="5">
        <v>10</v>
      </c>
      <c r="K676" s="5">
        <v>2</v>
      </c>
      <c r="L676" s="5">
        <v>1</v>
      </c>
    </row>
    <row r="677" spans="1:12" ht="13">
      <c r="A677" s="20" t="s">
        <v>351</v>
      </c>
      <c r="B677" s="5">
        <v>23510</v>
      </c>
      <c r="C677" s="6">
        <f t="shared" si="10"/>
        <v>3.7395786928021382E-2</v>
      </c>
      <c r="D677" s="19">
        <f t="shared" si="11"/>
        <v>23504</v>
      </c>
      <c r="E677" s="5">
        <v>12316</v>
      </c>
      <c r="F677" s="5">
        <v>8516</v>
      </c>
      <c r="G677" s="5">
        <v>1823</v>
      </c>
      <c r="H677" s="5">
        <v>597</v>
      </c>
      <c r="I677" s="5">
        <v>144</v>
      </c>
      <c r="J677" s="5">
        <v>76</v>
      </c>
      <c r="K677" s="5">
        <v>20</v>
      </c>
      <c r="L677" s="5">
        <v>12</v>
      </c>
    </row>
    <row r="678" spans="1:12" ht="13" hidden="1">
      <c r="A678" s="3" t="s">
        <v>352</v>
      </c>
      <c r="B678" s="5">
        <v>23510</v>
      </c>
      <c r="C678" s="6">
        <f t="shared" si="10"/>
        <v>3.7395786928021382E-2</v>
      </c>
      <c r="D678" s="19">
        <f t="shared" si="11"/>
        <v>23504</v>
      </c>
      <c r="E678" s="5">
        <v>12316</v>
      </c>
      <c r="F678" s="5">
        <v>8516</v>
      </c>
      <c r="G678" s="5">
        <v>1823</v>
      </c>
      <c r="H678" s="5">
        <v>597</v>
      </c>
      <c r="I678" s="5">
        <v>144</v>
      </c>
      <c r="J678" s="5">
        <v>76</v>
      </c>
      <c r="K678" s="5">
        <v>20</v>
      </c>
      <c r="L678" s="5">
        <v>12</v>
      </c>
    </row>
    <row r="681" spans="1:12" ht="13">
      <c r="A681" s="1" t="s">
        <v>354</v>
      </c>
    </row>
    <row r="683" spans="1:12" ht="13">
      <c r="A683" s="1" t="s">
        <v>355</v>
      </c>
    </row>
    <row r="684" spans="1:12">
      <c r="A684" t="s">
        <v>2</v>
      </c>
    </row>
  </sheetData>
  <mergeCells count="1">
    <mergeCell ref="A344:L344"/>
  </mergeCells>
  <conditionalFormatting sqref="C345:C678">
    <cfRule type="cellIs" dxfId="839" priority="1" stopIfTrue="1" operator="between">
      <formula>0.025</formula>
      <formula>1</formula>
    </cfRule>
    <cfRule type="cellIs" dxfId="838" priority="2" stopIfTrue="1" operator="between">
      <formula>0.01</formula>
      <formula>0.025</formula>
    </cfRule>
    <cfRule type="cellIs" dxfId="837" priority="3" stopIfTrue="1" operator="between">
      <formula>0.0075</formula>
      <formula>0.1</formula>
    </cfRule>
  </conditionalFormatting>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300"/>
  </sheetPr>
  <dimension ref="A1:XEM3"/>
  <sheetViews>
    <sheetView zoomScale="70" zoomScaleNormal="70" workbookViewId="0">
      <selection sqref="A1:A1048576"/>
    </sheetView>
  </sheetViews>
  <sheetFormatPr defaultColWidth="0" defaultRowHeight="12.5" zeroHeight="1"/>
  <cols>
    <col min="1" max="1" width="77.26953125" style="309" customWidth="1"/>
    <col min="2" max="2" width="8.7265625" hidden="1" customWidth="1"/>
    <col min="3" max="3" width="0" hidden="1" customWidth="1"/>
    <col min="4" max="4" width="0.36328125" hidden="1" customWidth="1"/>
    <col min="5" max="5" width="8.7265625" hidden="1" customWidth="1"/>
    <col min="6" max="6" width="0" hidden="1" customWidth="1"/>
    <col min="7" max="7" width="8.7265625" hidden="1" customWidth="1"/>
    <col min="8" max="16366" width="8.7265625" hidden="1"/>
    <col min="16368" max="16384" width="8.7265625" hidden="1"/>
  </cols>
  <sheetData>
    <row r="1" spans="1:1" ht="153.5" customHeight="1">
      <c r="A1" s="306" t="s">
        <v>1489</v>
      </c>
    </row>
    <row r="2" spans="1:1" ht="345.5" customHeight="1">
      <c r="A2" s="307"/>
    </row>
    <row r="3" spans="1:1" ht="23" hidden="1" customHeight="1">
      <c r="A3" s="308"/>
    </row>
  </sheetData>
  <mergeCells count="1">
    <mergeCell ref="A1:A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4"/>
  </sheetPr>
  <dimension ref="A1:BC41"/>
  <sheetViews>
    <sheetView showGridLines="0" tabSelected="1" zoomScale="70" zoomScaleNormal="70" workbookViewId="0">
      <pane ySplit="2" topLeftCell="A3" activePane="bottomLeft" state="frozen"/>
      <selection pane="bottomLeft" activeCell="B30" sqref="B30"/>
    </sheetView>
  </sheetViews>
  <sheetFormatPr defaultColWidth="8.7265625" defaultRowHeight="12.5"/>
  <cols>
    <col min="1" max="1" width="2.36328125" style="208" customWidth="1"/>
    <col min="2" max="2" width="69" customWidth="1"/>
    <col min="3" max="3" width="19.54296875" hidden="1" customWidth="1"/>
    <col min="4" max="4" width="11" hidden="1" customWidth="1"/>
    <col min="5" max="5" width="11.1796875" hidden="1" customWidth="1"/>
    <col min="6" max="13" width="19.54296875" hidden="1" customWidth="1"/>
    <col min="14" max="14" width="7.1796875" customWidth="1"/>
    <col min="15" max="15" width="5.7265625" customWidth="1"/>
    <col min="16" max="26" width="5.54296875" customWidth="1"/>
    <col min="27" max="27" width="6.54296875" customWidth="1"/>
    <col min="28" max="40" width="5.54296875" customWidth="1"/>
    <col min="41" max="41" width="6.54296875" customWidth="1"/>
    <col min="42" max="47" width="5.54296875" customWidth="1"/>
    <col min="54" max="54" width="23.453125" customWidth="1"/>
  </cols>
  <sheetData>
    <row r="1" spans="2:55" s="208" customFormat="1"/>
    <row r="2" spans="2:55" ht="213.5" customHeight="1">
      <c r="B2" s="242" t="s">
        <v>1342</v>
      </c>
      <c r="C2" s="39"/>
      <c r="D2" s="39"/>
      <c r="E2" s="39"/>
      <c r="F2" s="36"/>
      <c r="G2" s="36"/>
      <c r="H2" s="26"/>
      <c r="I2" s="26"/>
      <c r="J2" s="26"/>
      <c r="K2" s="26"/>
      <c r="L2" s="26"/>
      <c r="M2" s="26"/>
      <c r="N2" s="243" t="s">
        <v>356</v>
      </c>
      <c r="O2" s="193" t="s">
        <v>357</v>
      </c>
      <c r="P2" s="194" t="s">
        <v>358</v>
      </c>
      <c r="Q2" s="193" t="s">
        <v>359</v>
      </c>
      <c r="R2" s="194" t="s">
        <v>360</v>
      </c>
      <c r="S2" s="193" t="s">
        <v>361</v>
      </c>
      <c r="T2" s="194" t="s">
        <v>362</v>
      </c>
      <c r="U2" s="193" t="s">
        <v>363</v>
      </c>
      <c r="V2" s="194" t="s">
        <v>364</v>
      </c>
      <c r="W2" s="193" t="s">
        <v>365</v>
      </c>
      <c r="X2" s="194" t="s">
        <v>366</v>
      </c>
      <c r="Y2" s="193" t="s">
        <v>367</v>
      </c>
      <c r="Z2" s="195" t="s">
        <v>368</v>
      </c>
      <c r="AA2" s="243" t="s">
        <v>369</v>
      </c>
      <c r="AB2" s="193" t="s">
        <v>370</v>
      </c>
      <c r="AC2" s="194" t="s">
        <v>371</v>
      </c>
      <c r="AD2" s="193" t="s">
        <v>372</v>
      </c>
      <c r="AE2" s="194" t="s">
        <v>373</v>
      </c>
      <c r="AF2" s="193" t="s">
        <v>374</v>
      </c>
      <c r="AG2" s="194" t="s">
        <v>375</v>
      </c>
      <c r="AH2" s="193" t="s">
        <v>376</v>
      </c>
      <c r="AI2" s="194" t="s">
        <v>377</v>
      </c>
      <c r="AJ2" s="193" t="s">
        <v>378</v>
      </c>
      <c r="AK2" s="194" t="s">
        <v>379</v>
      </c>
      <c r="AL2" s="193" t="s">
        <v>380</v>
      </c>
      <c r="AM2" s="194" t="s">
        <v>381</v>
      </c>
      <c r="AN2" s="193" t="s">
        <v>382</v>
      </c>
      <c r="AO2" s="196" t="s">
        <v>383</v>
      </c>
      <c r="AP2" s="194" t="s">
        <v>384</v>
      </c>
      <c r="AQ2" s="193" t="s">
        <v>385</v>
      </c>
      <c r="AR2" s="194" t="s">
        <v>386</v>
      </c>
      <c r="AS2" s="193" t="s">
        <v>387</v>
      </c>
      <c r="AT2" s="194" t="s">
        <v>388</v>
      </c>
      <c r="AU2" s="193" t="s">
        <v>389</v>
      </c>
    </row>
    <row r="3" spans="2:55" ht="26">
      <c r="B3" s="40" t="s">
        <v>5</v>
      </c>
      <c r="C3" s="46" t="s">
        <v>6</v>
      </c>
      <c r="D3" s="47" t="s">
        <v>7</v>
      </c>
      <c r="E3" s="47" t="s">
        <v>390</v>
      </c>
      <c r="F3" s="38" t="s">
        <v>9</v>
      </c>
      <c r="G3" s="37" t="s">
        <v>10</v>
      </c>
      <c r="H3" s="37" t="s">
        <v>11</v>
      </c>
      <c r="I3" s="37" t="s">
        <v>12</v>
      </c>
      <c r="J3" s="37" t="s">
        <v>13</v>
      </c>
      <c r="K3" s="37" t="s">
        <v>14</v>
      </c>
      <c r="L3" s="37" t="s">
        <v>15</v>
      </c>
      <c r="M3" s="184" t="s">
        <v>16</v>
      </c>
      <c r="N3" s="185"/>
      <c r="O3" s="207"/>
      <c r="P3" s="186"/>
      <c r="Q3" s="186"/>
      <c r="R3" s="186"/>
      <c r="S3" s="186"/>
      <c r="T3" s="186"/>
      <c r="U3" s="186"/>
      <c r="V3" s="186"/>
      <c r="W3" s="186"/>
      <c r="X3" s="186"/>
      <c r="Y3" s="186"/>
      <c r="Z3" s="186"/>
      <c r="AA3" s="183"/>
      <c r="AB3" s="186"/>
      <c r="AC3" s="186"/>
      <c r="AD3" s="186"/>
      <c r="AE3" s="186"/>
      <c r="AF3" s="186"/>
      <c r="AG3" s="186"/>
      <c r="AH3" s="186"/>
      <c r="AI3" s="186"/>
      <c r="AJ3" s="186"/>
      <c r="AK3" s="186"/>
      <c r="AL3" s="186"/>
      <c r="AM3" s="186"/>
      <c r="AN3" s="186"/>
      <c r="AO3" s="183"/>
      <c r="AP3" s="186"/>
      <c r="AQ3" s="186"/>
      <c r="AR3" s="186"/>
      <c r="AS3" s="186"/>
      <c r="AT3" s="186"/>
      <c r="AU3" s="187"/>
    </row>
    <row r="4" spans="2:55" ht="27" customHeight="1">
      <c r="B4" s="116" t="s">
        <v>391</v>
      </c>
      <c r="C4" s="46"/>
      <c r="D4" s="67">
        <v>6.0000000000000001E-3</v>
      </c>
      <c r="E4" s="63">
        <v>3750</v>
      </c>
      <c r="F4" s="65"/>
      <c r="G4" s="65"/>
      <c r="H4" s="65"/>
      <c r="I4" s="65"/>
      <c r="J4" s="65"/>
      <c r="K4" s="65"/>
      <c r="L4" s="65"/>
      <c r="M4" s="65"/>
      <c r="N4" s="97"/>
      <c r="O4" s="35"/>
      <c r="P4" s="52"/>
      <c r="Q4" s="35"/>
      <c r="R4" s="51"/>
      <c r="S4" s="52"/>
      <c r="T4" s="52"/>
      <c r="U4" s="35"/>
      <c r="V4" s="35"/>
      <c r="W4" s="51"/>
      <c r="X4" s="51"/>
      <c r="Y4" s="58"/>
      <c r="Z4" s="182"/>
      <c r="AA4" s="79"/>
      <c r="AB4" s="69"/>
      <c r="AC4" s="31"/>
      <c r="AD4" s="35"/>
      <c r="AE4" s="35"/>
      <c r="AF4" s="51"/>
      <c r="AG4" s="35"/>
      <c r="AH4" s="35"/>
      <c r="AI4" s="52"/>
      <c r="AJ4" s="35"/>
      <c r="AK4" s="51"/>
      <c r="AL4" s="52"/>
      <c r="AM4" s="35"/>
      <c r="AN4" s="35"/>
      <c r="AO4" s="79"/>
      <c r="AP4" s="51"/>
      <c r="AQ4" s="35"/>
      <c r="AR4" s="35"/>
      <c r="AS4" s="35"/>
      <c r="AT4" s="52"/>
      <c r="AU4" s="35"/>
    </row>
    <row r="5" spans="2:55" ht="27" customHeight="1">
      <c r="B5" s="116" t="s">
        <v>392</v>
      </c>
      <c r="C5" s="46"/>
      <c r="D5" s="67">
        <v>6.7000000000000002E-3</v>
      </c>
      <c r="E5" s="63">
        <v>4225</v>
      </c>
      <c r="F5" s="65"/>
      <c r="G5" s="65"/>
      <c r="H5" s="65"/>
      <c r="I5" s="65"/>
      <c r="J5" s="65"/>
      <c r="K5" s="65"/>
      <c r="L5" s="65"/>
      <c r="M5" s="65"/>
      <c r="N5" s="97"/>
      <c r="O5" s="55"/>
      <c r="P5" s="54"/>
      <c r="Q5" s="42"/>
      <c r="R5" s="54"/>
      <c r="S5" s="42"/>
      <c r="T5" s="42"/>
      <c r="U5" s="54"/>
      <c r="V5" s="42"/>
      <c r="W5" s="54"/>
      <c r="X5" s="54"/>
      <c r="Y5" s="66"/>
      <c r="Z5" s="44"/>
      <c r="AA5" s="79"/>
      <c r="AB5" s="57"/>
      <c r="AC5" s="42"/>
      <c r="AD5" s="42"/>
      <c r="AE5" s="42"/>
      <c r="AF5" s="42"/>
      <c r="AG5" s="42"/>
      <c r="AH5" s="57"/>
      <c r="AI5" s="28"/>
      <c r="AJ5" s="42"/>
      <c r="AK5" s="42"/>
      <c r="AL5" s="54"/>
      <c r="AM5" s="42"/>
      <c r="AN5" s="42"/>
      <c r="AO5" s="79"/>
      <c r="AP5" s="54"/>
      <c r="AQ5" s="42"/>
      <c r="AR5" s="42"/>
      <c r="AS5" s="42"/>
      <c r="AT5" s="54"/>
      <c r="AU5" s="42"/>
      <c r="BB5" s="244"/>
      <c r="BC5" s="245"/>
    </row>
    <row r="6" spans="2:55" ht="27" customHeight="1">
      <c r="B6" s="116" t="s">
        <v>393</v>
      </c>
      <c r="C6" s="46"/>
      <c r="D6" s="67">
        <v>3.3999999999999998E-3</v>
      </c>
      <c r="E6" s="63">
        <v>2138</v>
      </c>
      <c r="F6" s="65"/>
      <c r="G6" s="65"/>
      <c r="H6" s="65"/>
      <c r="I6" s="65"/>
      <c r="J6" s="65"/>
      <c r="K6" s="65"/>
      <c r="L6" s="65"/>
      <c r="M6" s="65"/>
      <c r="N6" s="97"/>
      <c r="O6" s="54"/>
      <c r="P6" s="54"/>
      <c r="Q6" s="42"/>
      <c r="R6" s="54"/>
      <c r="S6" s="28"/>
      <c r="T6" s="54"/>
      <c r="U6" s="54"/>
      <c r="V6" s="42"/>
      <c r="W6" s="55"/>
      <c r="X6" s="54"/>
      <c r="Y6" s="44"/>
      <c r="Z6" s="44"/>
      <c r="AA6" s="79"/>
      <c r="AB6" s="64"/>
      <c r="AC6" s="42"/>
      <c r="AD6" s="42"/>
      <c r="AE6" s="42"/>
      <c r="AF6" s="42"/>
      <c r="AG6" s="42"/>
      <c r="AH6" s="190"/>
      <c r="AI6" s="42"/>
      <c r="AJ6" s="42"/>
      <c r="AK6" s="42"/>
      <c r="AL6" s="42"/>
      <c r="AM6" s="42"/>
      <c r="AN6" s="57"/>
      <c r="AO6" s="79"/>
      <c r="AP6" s="54"/>
      <c r="AQ6" s="42"/>
      <c r="AR6" s="42"/>
      <c r="AS6" s="42"/>
      <c r="AT6" s="42"/>
      <c r="AU6" s="42"/>
      <c r="BB6" s="244"/>
      <c r="BC6" s="245"/>
    </row>
    <row r="7" spans="2:55" ht="27" customHeight="1">
      <c r="B7" s="116" t="s">
        <v>394</v>
      </c>
      <c r="C7" s="46"/>
      <c r="D7" s="67">
        <v>2.5000000000000001E-2</v>
      </c>
      <c r="E7" s="63">
        <v>15698</v>
      </c>
      <c r="F7" s="65"/>
      <c r="G7" s="65"/>
      <c r="H7" s="65"/>
      <c r="I7" s="65"/>
      <c r="J7" s="65"/>
      <c r="K7" s="65"/>
      <c r="L7" s="65"/>
      <c r="M7" s="65"/>
      <c r="N7" s="97"/>
      <c r="O7" s="54"/>
      <c r="P7" s="54"/>
      <c r="Q7" s="42"/>
      <c r="R7" s="55"/>
      <c r="S7" s="54"/>
      <c r="T7" s="28"/>
      <c r="U7" s="54"/>
      <c r="V7" s="54"/>
      <c r="W7" s="55"/>
      <c r="X7" s="54"/>
      <c r="Y7" s="66"/>
      <c r="Z7" s="44"/>
      <c r="AA7" s="79"/>
      <c r="AB7" s="64"/>
      <c r="AC7" s="55"/>
      <c r="AD7" s="55"/>
      <c r="AE7" s="42"/>
      <c r="AF7" s="54"/>
      <c r="AG7" s="42"/>
      <c r="AH7" s="54"/>
      <c r="AI7" s="42"/>
      <c r="AJ7" s="42"/>
      <c r="AK7" s="42"/>
      <c r="AL7" s="42"/>
      <c r="AM7" s="42"/>
      <c r="AN7" s="28"/>
      <c r="AO7" s="79"/>
      <c r="AP7" s="54"/>
      <c r="AQ7" s="42"/>
      <c r="AR7" s="42"/>
      <c r="AS7" s="28"/>
      <c r="AT7" s="28"/>
      <c r="AU7" s="42"/>
      <c r="BB7" s="245"/>
      <c r="BC7" s="245"/>
    </row>
    <row r="8" spans="2:55" ht="27" customHeight="1">
      <c r="B8" s="116" t="s">
        <v>395</v>
      </c>
      <c r="C8" s="46"/>
      <c r="D8" s="67">
        <v>1.4E-3</v>
      </c>
      <c r="E8" s="63">
        <v>894</v>
      </c>
      <c r="F8" s="65"/>
      <c r="G8" s="65"/>
      <c r="H8" s="65"/>
      <c r="I8" s="65"/>
      <c r="J8" s="65"/>
      <c r="K8" s="65"/>
      <c r="L8" s="65"/>
      <c r="M8" s="65"/>
      <c r="N8" s="97"/>
      <c r="O8" s="52"/>
      <c r="P8" s="51"/>
      <c r="Q8" s="35"/>
      <c r="R8" s="51"/>
      <c r="S8" s="51"/>
      <c r="T8" s="35"/>
      <c r="U8" s="35"/>
      <c r="V8" s="35"/>
      <c r="W8" s="35"/>
      <c r="X8" s="51"/>
      <c r="Y8" s="68"/>
      <c r="Z8" s="43"/>
      <c r="AA8" s="79"/>
      <c r="AB8" s="69"/>
      <c r="AC8" s="35"/>
      <c r="AD8" s="35"/>
      <c r="AE8" s="35"/>
      <c r="AF8" s="51"/>
      <c r="AG8" s="35"/>
      <c r="AH8" s="35"/>
      <c r="AI8" s="35"/>
      <c r="AJ8" s="35"/>
      <c r="AK8" s="35"/>
      <c r="AL8" s="35"/>
      <c r="AM8" s="35"/>
      <c r="AN8" s="31"/>
      <c r="AO8" s="79"/>
      <c r="AP8" s="54"/>
      <c r="AQ8" s="35"/>
      <c r="AR8" s="35"/>
      <c r="AS8" s="31"/>
      <c r="AT8" s="35"/>
      <c r="AU8" s="35"/>
      <c r="BB8" s="244"/>
      <c r="BC8" s="245"/>
    </row>
    <row r="9" spans="2:55" ht="27" customHeight="1">
      <c r="B9" s="116" t="s">
        <v>396</v>
      </c>
      <c r="C9" s="34">
        <v>40714</v>
      </c>
      <c r="D9" s="41" t="e">
        <f>E9/#REF!</f>
        <v>#REF!</v>
      </c>
      <c r="E9" s="63">
        <f t="shared" ref="E9:E12" si="0">SUM(F9:M9)</f>
        <v>40705</v>
      </c>
      <c r="F9" s="33">
        <v>26920</v>
      </c>
      <c r="G9" s="29">
        <v>8810</v>
      </c>
      <c r="H9" s="29">
        <v>2711</v>
      </c>
      <c r="I9" s="29">
        <v>1135</v>
      </c>
      <c r="J9" s="29">
        <v>725</v>
      </c>
      <c r="K9" s="29">
        <v>321</v>
      </c>
      <c r="L9" s="29">
        <v>67</v>
      </c>
      <c r="M9" s="30">
        <v>16</v>
      </c>
      <c r="N9" s="96"/>
      <c r="O9" s="51"/>
      <c r="P9" s="51"/>
      <c r="Q9" s="52"/>
      <c r="R9" s="51"/>
      <c r="S9" s="35"/>
      <c r="T9" s="51"/>
      <c r="U9" s="52"/>
      <c r="V9" s="51"/>
      <c r="W9" s="31"/>
      <c r="X9" s="35"/>
      <c r="Y9" s="35"/>
      <c r="Z9" s="43"/>
      <c r="AA9" s="79"/>
      <c r="AB9" s="53"/>
      <c r="AC9" s="35"/>
      <c r="AD9" s="35"/>
      <c r="AE9" s="35"/>
      <c r="AF9" s="31"/>
      <c r="AG9" s="35"/>
      <c r="AH9" s="52"/>
      <c r="AI9" s="35"/>
      <c r="AJ9" s="35"/>
      <c r="AK9" s="35"/>
      <c r="AL9" s="35"/>
      <c r="AM9" s="35"/>
      <c r="AN9" s="35"/>
      <c r="AO9" s="79"/>
      <c r="AP9" s="54"/>
      <c r="AQ9" s="35"/>
      <c r="AR9" s="52"/>
      <c r="AS9" s="35"/>
      <c r="AT9" s="35"/>
      <c r="AU9" s="52"/>
      <c r="BB9" s="244"/>
      <c r="BC9" s="245"/>
    </row>
    <row r="10" spans="2:55" ht="27" customHeight="1">
      <c r="B10" s="116" t="s">
        <v>397</v>
      </c>
      <c r="C10" s="34">
        <v>33298</v>
      </c>
      <c r="D10" s="41" t="e">
        <f>E10/#REF!</f>
        <v>#REF!</v>
      </c>
      <c r="E10" s="63">
        <f t="shared" si="0"/>
        <v>33287</v>
      </c>
      <c r="F10" s="32">
        <v>18164</v>
      </c>
      <c r="G10" s="5">
        <v>9181</v>
      </c>
      <c r="H10" s="5">
        <v>2998</v>
      </c>
      <c r="I10" s="5">
        <v>1330</v>
      </c>
      <c r="J10" s="5">
        <v>985</v>
      </c>
      <c r="K10" s="5">
        <v>503</v>
      </c>
      <c r="L10" s="5">
        <v>97</v>
      </c>
      <c r="M10" s="27">
        <v>29</v>
      </c>
      <c r="N10" s="96"/>
      <c r="O10" s="54"/>
      <c r="P10" s="52"/>
      <c r="Q10" s="52"/>
      <c r="R10" s="51"/>
      <c r="S10" s="35"/>
      <c r="T10" s="51"/>
      <c r="U10" s="52"/>
      <c r="V10" s="51"/>
      <c r="W10" s="35"/>
      <c r="X10" s="35"/>
      <c r="Y10" s="43"/>
      <c r="Z10" s="43"/>
      <c r="AA10" s="79"/>
      <c r="AB10" s="53"/>
      <c r="AC10" s="51"/>
      <c r="AD10" s="52"/>
      <c r="AE10" s="35"/>
      <c r="AF10" s="31"/>
      <c r="AG10" s="35"/>
      <c r="AH10" s="52"/>
      <c r="AI10" s="35"/>
      <c r="AJ10" s="35"/>
      <c r="AK10" s="35"/>
      <c r="AL10" s="35"/>
      <c r="AM10" s="35"/>
      <c r="AN10" s="35"/>
      <c r="AO10" s="79"/>
      <c r="AP10" s="54"/>
      <c r="AQ10" s="35"/>
      <c r="AR10" s="35"/>
      <c r="AS10" s="35"/>
      <c r="AT10" s="35"/>
      <c r="AU10" s="52"/>
    </row>
    <row r="11" spans="2:55" ht="27" customHeight="1">
      <c r="B11" s="116" t="s">
        <v>398</v>
      </c>
      <c r="C11" s="34">
        <v>21224</v>
      </c>
      <c r="D11" s="41" t="e">
        <f>E11/#REF!</f>
        <v>#REF!</v>
      </c>
      <c r="E11" s="63">
        <f>SUM(F11:M11)</f>
        <v>21207</v>
      </c>
      <c r="F11" s="32">
        <v>15419</v>
      </c>
      <c r="G11" s="5">
        <v>4021</v>
      </c>
      <c r="H11" s="5">
        <v>874</v>
      </c>
      <c r="I11" s="5">
        <v>395</v>
      </c>
      <c r="J11" s="5">
        <v>336</v>
      </c>
      <c r="K11" s="5">
        <v>109</v>
      </c>
      <c r="L11" s="5">
        <v>37</v>
      </c>
      <c r="M11" s="27">
        <v>16</v>
      </c>
      <c r="N11" s="96"/>
      <c r="O11" s="54"/>
      <c r="P11" s="42"/>
      <c r="Q11" s="42"/>
      <c r="R11" s="28"/>
      <c r="S11" s="42"/>
      <c r="T11" s="54"/>
      <c r="U11" s="55"/>
      <c r="V11" s="54"/>
      <c r="W11" s="42"/>
      <c r="X11" s="42"/>
      <c r="Y11" s="28"/>
      <c r="Z11" s="44"/>
      <c r="AA11" s="79"/>
      <c r="AB11" s="31"/>
      <c r="AC11" s="54"/>
      <c r="AD11" s="55"/>
      <c r="AE11" s="55"/>
      <c r="AF11" s="42"/>
      <c r="AG11" s="42"/>
      <c r="AH11" s="42"/>
      <c r="AI11" s="42"/>
      <c r="AJ11" s="28"/>
      <c r="AK11" s="42"/>
      <c r="AL11" s="42"/>
      <c r="AM11" s="54"/>
      <c r="AN11" s="42"/>
      <c r="AO11" s="79"/>
      <c r="AP11" s="54"/>
      <c r="AQ11" s="42"/>
      <c r="AR11" s="42"/>
      <c r="AS11" s="42"/>
      <c r="AT11" s="42"/>
      <c r="AU11" s="28"/>
    </row>
    <row r="12" spans="2:55" ht="27" customHeight="1">
      <c r="B12" s="116" t="s">
        <v>399</v>
      </c>
      <c r="C12" s="34">
        <v>10707</v>
      </c>
      <c r="D12" s="41" t="e">
        <f>E12/#REF!</f>
        <v>#REF!</v>
      </c>
      <c r="E12" s="63">
        <f t="shared" si="0"/>
        <v>10690</v>
      </c>
      <c r="F12" s="32">
        <v>4440</v>
      </c>
      <c r="G12" s="5">
        <v>3957</v>
      </c>
      <c r="H12" s="5">
        <v>1260</v>
      </c>
      <c r="I12" s="5">
        <v>459</v>
      </c>
      <c r="J12" s="5">
        <v>335</v>
      </c>
      <c r="K12" s="5">
        <v>157</v>
      </c>
      <c r="L12" s="5">
        <v>44</v>
      </c>
      <c r="M12" s="27">
        <v>38</v>
      </c>
      <c r="N12" s="96"/>
      <c r="O12" s="54"/>
      <c r="P12" s="54"/>
      <c r="Q12" s="42"/>
      <c r="R12" s="42"/>
      <c r="S12" s="54"/>
      <c r="T12" s="42"/>
      <c r="U12" s="42"/>
      <c r="V12" s="55"/>
      <c r="W12" s="42"/>
      <c r="X12" s="42"/>
      <c r="Y12" s="44"/>
      <c r="Z12" s="44"/>
      <c r="AA12" s="79"/>
      <c r="AB12" s="31"/>
      <c r="AC12" s="42"/>
      <c r="AD12" s="42"/>
      <c r="AE12" s="42"/>
      <c r="AF12" s="54"/>
      <c r="AG12" s="42"/>
      <c r="AH12" s="55"/>
      <c r="AI12" s="42"/>
      <c r="AJ12" s="42"/>
      <c r="AK12" s="42"/>
      <c r="AL12" s="42"/>
      <c r="AM12" s="42"/>
      <c r="AN12" s="42"/>
      <c r="AO12" s="79"/>
      <c r="AP12" s="54"/>
      <c r="AQ12" s="55"/>
      <c r="AR12" s="42"/>
      <c r="AS12" s="42"/>
      <c r="AT12" s="54"/>
      <c r="AU12" s="42"/>
    </row>
    <row r="13" spans="2:55" ht="27" customHeight="1">
      <c r="B13" s="116" t="s">
        <v>400</v>
      </c>
      <c r="C13" s="34">
        <v>41693</v>
      </c>
      <c r="D13" s="41" t="e">
        <f>E13/#REF!</f>
        <v>#REF!</v>
      </c>
      <c r="E13" s="63">
        <f t="shared" ref="E13:E17" si="1">SUM(F13:M13)</f>
        <v>41591</v>
      </c>
      <c r="F13" s="32">
        <v>21277</v>
      </c>
      <c r="G13" s="5">
        <v>11024</v>
      </c>
      <c r="H13" s="5">
        <v>3710</v>
      </c>
      <c r="I13" s="5">
        <v>2561</v>
      </c>
      <c r="J13" s="5">
        <v>1514</v>
      </c>
      <c r="K13" s="5">
        <v>1006</v>
      </c>
      <c r="L13" s="5">
        <v>346</v>
      </c>
      <c r="M13" s="27">
        <v>153</v>
      </c>
      <c r="N13" s="96"/>
      <c r="O13" s="54"/>
      <c r="P13" s="54"/>
      <c r="Q13" s="42"/>
      <c r="R13" s="42"/>
      <c r="S13" s="42"/>
      <c r="T13" s="42"/>
      <c r="U13" s="55"/>
      <c r="V13" s="28"/>
      <c r="W13" s="54"/>
      <c r="X13" s="42"/>
      <c r="Y13" s="44"/>
      <c r="Z13" s="56"/>
      <c r="AA13" s="79"/>
      <c r="AB13" s="31"/>
      <c r="AC13" s="42"/>
      <c r="AD13" s="42"/>
      <c r="AE13" s="55"/>
      <c r="AF13" s="54"/>
      <c r="AG13" s="42"/>
      <c r="AH13" s="54"/>
      <c r="AI13" s="42"/>
      <c r="AJ13" s="28"/>
      <c r="AK13" s="42"/>
      <c r="AL13" s="42"/>
      <c r="AM13" s="42"/>
      <c r="AN13" s="42"/>
      <c r="AO13" s="79"/>
      <c r="AP13" s="54"/>
      <c r="AQ13" s="42"/>
      <c r="AR13" s="42"/>
      <c r="AS13" s="42"/>
      <c r="AT13" s="54"/>
      <c r="AU13" s="42"/>
    </row>
    <row r="14" spans="2:55" ht="27" customHeight="1">
      <c r="B14" s="116" t="s">
        <v>401</v>
      </c>
      <c r="C14" s="34">
        <v>69185</v>
      </c>
      <c r="D14" s="41" t="e">
        <f>E14/#REF!</f>
        <v>#REF!</v>
      </c>
      <c r="E14" s="63">
        <f t="shared" si="1"/>
        <v>69116</v>
      </c>
      <c r="F14" s="32">
        <v>31160</v>
      </c>
      <c r="G14" s="5">
        <v>25048</v>
      </c>
      <c r="H14" s="5">
        <v>9314</v>
      </c>
      <c r="I14" s="5">
        <v>2241</v>
      </c>
      <c r="J14" s="5">
        <v>759</v>
      </c>
      <c r="K14" s="5">
        <v>438</v>
      </c>
      <c r="L14" s="5">
        <v>103</v>
      </c>
      <c r="M14" s="27">
        <v>53</v>
      </c>
      <c r="N14" s="96"/>
      <c r="O14" s="55"/>
      <c r="P14" s="54"/>
      <c r="Q14" s="42"/>
      <c r="R14" s="42"/>
      <c r="S14" s="42"/>
      <c r="T14" s="42"/>
      <c r="U14" s="28"/>
      <c r="V14" s="42"/>
      <c r="W14" s="54"/>
      <c r="X14" s="42"/>
      <c r="Y14" s="56"/>
      <c r="Z14" s="56"/>
      <c r="AA14" s="79"/>
      <c r="AB14" s="31"/>
      <c r="AC14" s="42"/>
      <c r="AD14" s="42"/>
      <c r="AE14" s="54"/>
      <c r="AF14" s="55"/>
      <c r="AG14" s="42"/>
      <c r="AH14" s="54"/>
      <c r="AI14" s="42"/>
      <c r="AJ14" s="42"/>
      <c r="AK14" s="42"/>
      <c r="AL14" s="55"/>
      <c r="AM14" s="42"/>
      <c r="AN14" s="42"/>
      <c r="AO14" s="79"/>
      <c r="AP14" s="54"/>
      <c r="AQ14" s="42"/>
      <c r="AR14" s="42"/>
      <c r="AS14" s="42"/>
      <c r="AT14" s="55"/>
      <c r="AU14" s="42"/>
    </row>
    <row r="15" spans="2:55" ht="27" customHeight="1">
      <c r="B15" s="116" t="s">
        <v>402</v>
      </c>
      <c r="C15" s="34">
        <v>33561</v>
      </c>
      <c r="D15" s="41" t="e">
        <f>E15/#REF!</f>
        <v>#REF!</v>
      </c>
      <c r="E15" s="63">
        <f t="shared" si="1"/>
        <v>33529</v>
      </c>
      <c r="F15" s="32">
        <v>23147</v>
      </c>
      <c r="G15" s="5">
        <v>7221</v>
      </c>
      <c r="H15" s="5">
        <v>1542</v>
      </c>
      <c r="I15" s="5">
        <v>721</v>
      </c>
      <c r="J15" s="5">
        <v>493</v>
      </c>
      <c r="K15" s="5">
        <v>316</v>
      </c>
      <c r="L15" s="5">
        <v>60</v>
      </c>
      <c r="M15" s="27">
        <v>29</v>
      </c>
      <c r="N15" s="96"/>
      <c r="O15" s="54"/>
      <c r="P15" s="54"/>
      <c r="Q15" s="42"/>
      <c r="R15" s="42"/>
      <c r="S15" s="42"/>
      <c r="T15" s="42"/>
      <c r="U15" s="42"/>
      <c r="V15" s="28"/>
      <c r="W15" s="42"/>
      <c r="X15" s="54"/>
      <c r="Y15" s="44"/>
      <c r="Z15" s="44"/>
      <c r="AA15" s="79"/>
      <c r="AB15" s="64"/>
      <c r="AC15" s="28"/>
      <c r="AD15" s="42"/>
      <c r="AE15" s="28"/>
      <c r="AF15" s="42"/>
      <c r="AG15" s="42"/>
      <c r="AH15" s="54"/>
      <c r="AI15" s="42"/>
      <c r="AJ15" s="42"/>
      <c r="AK15" s="42"/>
      <c r="AL15" s="42"/>
      <c r="AM15" s="42"/>
      <c r="AN15" s="42"/>
      <c r="AO15" s="79"/>
      <c r="AP15" s="54"/>
      <c r="AQ15" s="42"/>
      <c r="AR15" s="55"/>
      <c r="AS15" s="42"/>
      <c r="AT15" s="42"/>
      <c r="AU15" s="42"/>
    </row>
    <row r="16" spans="2:55" ht="27" customHeight="1">
      <c r="B16" s="116" t="s">
        <v>1324</v>
      </c>
      <c r="C16" s="34">
        <v>40509</v>
      </c>
      <c r="D16" s="41" t="e">
        <f>E16/#REF!</f>
        <v>#REF!</v>
      </c>
      <c r="E16" s="63">
        <f t="shared" si="1"/>
        <v>40468</v>
      </c>
      <c r="F16" s="32">
        <v>12343</v>
      </c>
      <c r="G16" s="5">
        <v>15829</v>
      </c>
      <c r="H16" s="5">
        <v>8212</v>
      </c>
      <c r="I16" s="5">
        <v>2365</v>
      </c>
      <c r="J16" s="5">
        <v>1023</v>
      </c>
      <c r="K16" s="5">
        <v>534</v>
      </c>
      <c r="L16" s="5">
        <v>108</v>
      </c>
      <c r="M16" s="27">
        <v>54</v>
      </c>
      <c r="N16" s="96"/>
      <c r="O16" s="54"/>
      <c r="P16" s="55"/>
      <c r="Q16" s="42"/>
      <c r="R16" s="54"/>
      <c r="S16" s="55"/>
      <c r="T16" s="42"/>
      <c r="U16" s="42"/>
      <c r="V16" s="42"/>
      <c r="W16" s="54"/>
      <c r="X16" s="42"/>
      <c r="Y16" s="44"/>
      <c r="Z16" s="44"/>
      <c r="AA16" s="79"/>
      <c r="AB16" s="64"/>
      <c r="AC16" s="42"/>
      <c r="AD16" s="42"/>
      <c r="AE16" s="42"/>
      <c r="AF16" s="54"/>
      <c r="AG16" s="54"/>
      <c r="AH16" s="28"/>
      <c r="AI16" s="42"/>
      <c r="AJ16" s="42"/>
      <c r="AK16" s="55"/>
      <c r="AL16" s="40"/>
      <c r="AM16" s="42"/>
      <c r="AN16" s="42"/>
      <c r="AO16" s="79"/>
      <c r="AP16" s="54"/>
      <c r="AQ16" s="42"/>
      <c r="AR16" s="42"/>
      <c r="AS16" s="42"/>
      <c r="AT16" s="28"/>
      <c r="AU16" s="42"/>
    </row>
    <row r="17" spans="2:47" ht="27" customHeight="1">
      <c r="B17" s="116" t="s">
        <v>403</v>
      </c>
      <c r="C17" s="34">
        <v>9320</v>
      </c>
      <c r="D17" s="41" t="e">
        <f>E17/#REF!</f>
        <v>#REF!</v>
      </c>
      <c r="E17" s="63">
        <f t="shared" si="1"/>
        <v>9290</v>
      </c>
      <c r="F17" s="32">
        <v>5921</v>
      </c>
      <c r="G17" s="5">
        <v>1850</v>
      </c>
      <c r="H17" s="5">
        <v>554</v>
      </c>
      <c r="I17" s="5">
        <v>326</v>
      </c>
      <c r="J17" s="5">
        <v>339</v>
      </c>
      <c r="K17" s="5">
        <v>199</v>
      </c>
      <c r="L17" s="5">
        <v>59</v>
      </c>
      <c r="M17" s="27">
        <v>42</v>
      </c>
      <c r="N17" s="96"/>
      <c r="O17" s="55"/>
      <c r="P17" s="54"/>
      <c r="Q17" s="42"/>
      <c r="R17" s="42"/>
      <c r="S17" s="42"/>
      <c r="T17" s="42"/>
      <c r="U17" s="42"/>
      <c r="V17" s="28"/>
      <c r="W17" s="42"/>
      <c r="X17" s="42"/>
      <c r="Y17" s="44"/>
      <c r="Z17" s="44"/>
      <c r="AA17" s="79"/>
      <c r="AB17" s="31"/>
      <c r="AC17" s="54"/>
      <c r="AD17" s="54"/>
      <c r="AE17" s="54"/>
      <c r="AF17" s="42"/>
      <c r="AG17" s="42"/>
      <c r="AH17" s="55"/>
      <c r="AI17" s="42"/>
      <c r="AJ17" s="54"/>
      <c r="AK17" s="42"/>
      <c r="AL17" s="42"/>
      <c r="AM17" s="42"/>
      <c r="AN17" s="42"/>
      <c r="AO17" s="79"/>
      <c r="AP17" s="54"/>
      <c r="AQ17" s="55"/>
      <c r="AR17" s="42"/>
      <c r="AS17" s="42"/>
      <c r="AT17" s="42"/>
      <c r="AU17" s="42"/>
    </row>
    <row r="18" spans="2:47" ht="27" customHeight="1">
      <c r="B18" s="116" t="s">
        <v>404</v>
      </c>
      <c r="C18" s="34">
        <v>12372</v>
      </c>
      <c r="D18" s="41" t="e">
        <f>E18/#REF!</f>
        <v>#REF!</v>
      </c>
      <c r="E18" s="63">
        <f t="shared" ref="E18:E25" si="2">SUM(F18:M18)</f>
        <v>12369</v>
      </c>
      <c r="F18" s="32">
        <v>9464</v>
      </c>
      <c r="G18" s="5">
        <v>2326</v>
      </c>
      <c r="H18" s="5">
        <v>391</v>
      </c>
      <c r="I18" s="5">
        <v>96</v>
      </c>
      <c r="J18" s="5">
        <v>46</v>
      </c>
      <c r="K18" s="5">
        <v>30</v>
      </c>
      <c r="L18" s="5">
        <v>11</v>
      </c>
      <c r="M18" s="27">
        <v>5</v>
      </c>
      <c r="N18" s="96"/>
      <c r="O18" s="42"/>
      <c r="P18" s="55"/>
      <c r="Q18" s="42"/>
      <c r="R18" s="42"/>
      <c r="S18" s="42"/>
      <c r="T18" s="42"/>
      <c r="U18" s="42"/>
      <c r="V18" s="42"/>
      <c r="W18" s="42"/>
      <c r="X18" s="42"/>
      <c r="Y18" s="44"/>
      <c r="Z18" s="44"/>
      <c r="AA18" s="79"/>
      <c r="AB18" s="31"/>
      <c r="AC18" s="55"/>
      <c r="AD18" s="54"/>
      <c r="AE18" s="54"/>
      <c r="AF18" s="42"/>
      <c r="AG18" s="42"/>
      <c r="AH18" s="42"/>
      <c r="AI18" s="42"/>
      <c r="AJ18" s="54"/>
      <c r="AK18" s="42"/>
      <c r="AL18" s="42"/>
      <c r="AM18" s="42"/>
      <c r="AN18" s="42"/>
      <c r="AO18" s="79"/>
      <c r="AP18" s="54"/>
      <c r="AQ18" s="28"/>
      <c r="AR18" s="42"/>
      <c r="AS18" s="54"/>
      <c r="AT18" s="42"/>
      <c r="AU18" s="55"/>
    </row>
    <row r="19" spans="2:47" ht="27" customHeight="1">
      <c r="B19" s="116" t="s">
        <v>405</v>
      </c>
      <c r="C19" s="34">
        <v>25592</v>
      </c>
      <c r="D19" s="41" t="e">
        <f>E19/#REF!</f>
        <v>#REF!</v>
      </c>
      <c r="E19" s="63">
        <f>SUM(F19:M19)</f>
        <v>25578</v>
      </c>
      <c r="F19" s="32">
        <v>15593</v>
      </c>
      <c r="G19" s="5">
        <v>6597</v>
      </c>
      <c r="H19" s="5">
        <v>1866</v>
      </c>
      <c r="I19" s="5">
        <v>809</v>
      </c>
      <c r="J19" s="5">
        <v>579</v>
      </c>
      <c r="K19" s="5">
        <v>108</v>
      </c>
      <c r="L19" s="5">
        <v>21</v>
      </c>
      <c r="M19" s="27">
        <v>5</v>
      </c>
      <c r="N19" s="96"/>
      <c r="O19" s="42"/>
      <c r="P19" s="55"/>
      <c r="Q19" s="42"/>
      <c r="R19" s="42"/>
      <c r="S19" s="42"/>
      <c r="T19" s="42"/>
      <c r="U19" s="42"/>
      <c r="V19" s="42"/>
      <c r="W19" s="42"/>
      <c r="X19" s="42"/>
      <c r="Y19" s="44"/>
      <c r="Z19" s="44"/>
      <c r="AA19" s="79"/>
      <c r="AB19" s="31"/>
      <c r="AC19" s="55"/>
      <c r="AD19" s="54"/>
      <c r="AE19" s="54"/>
      <c r="AF19" s="42"/>
      <c r="AG19" s="42"/>
      <c r="AH19" s="42"/>
      <c r="AI19" s="42"/>
      <c r="AJ19" s="54"/>
      <c r="AK19" s="42"/>
      <c r="AL19" s="42"/>
      <c r="AM19" s="42"/>
      <c r="AN19" s="42"/>
      <c r="AO19" s="79"/>
      <c r="AP19" s="54"/>
      <c r="AQ19" s="28"/>
      <c r="AR19" s="42"/>
      <c r="AS19" s="54"/>
      <c r="AT19" s="42"/>
      <c r="AU19" s="55"/>
    </row>
    <row r="20" spans="2:47" ht="27" customHeight="1">
      <c r="B20" s="116" t="s">
        <v>406</v>
      </c>
      <c r="C20" s="34">
        <v>4762</v>
      </c>
      <c r="D20" s="41" t="e">
        <f>E20/#REF!</f>
        <v>#REF!</v>
      </c>
      <c r="E20" s="63">
        <f>SUM(F20:M20)</f>
        <v>4741</v>
      </c>
      <c r="F20" s="32">
        <v>1975</v>
      </c>
      <c r="G20" s="5">
        <v>1725</v>
      </c>
      <c r="H20" s="5">
        <v>485</v>
      </c>
      <c r="I20" s="5">
        <v>247</v>
      </c>
      <c r="J20" s="5">
        <v>178</v>
      </c>
      <c r="K20" s="5">
        <v>83</v>
      </c>
      <c r="L20" s="5">
        <v>33</v>
      </c>
      <c r="M20" s="27">
        <v>15</v>
      </c>
      <c r="N20" s="96"/>
      <c r="O20" s="42"/>
      <c r="P20" s="55"/>
      <c r="Q20" s="42"/>
      <c r="R20" s="42"/>
      <c r="S20" s="42"/>
      <c r="T20" s="42"/>
      <c r="U20" s="42"/>
      <c r="V20" s="42"/>
      <c r="W20" s="42"/>
      <c r="X20" s="42"/>
      <c r="Y20" s="44"/>
      <c r="Z20" s="44"/>
      <c r="AA20" s="79"/>
      <c r="AB20" s="31"/>
      <c r="AC20" s="55"/>
      <c r="AD20" s="54"/>
      <c r="AE20" s="54"/>
      <c r="AF20" s="42"/>
      <c r="AG20" s="42"/>
      <c r="AH20" s="42"/>
      <c r="AI20" s="42"/>
      <c r="AJ20" s="54"/>
      <c r="AK20" s="42"/>
      <c r="AL20" s="42"/>
      <c r="AM20" s="42"/>
      <c r="AN20" s="42"/>
      <c r="AO20" s="79"/>
      <c r="AP20" s="54"/>
      <c r="AQ20" s="28"/>
      <c r="AR20" s="42"/>
      <c r="AS20" s="54"/>
      <c r="AT20" s="42"/>
      <c r="AU20" s="55"/>
    </row>
    <row r="21" spans="2:47" ht="27" customHeight="1">
      <c r="B21" s="116" t="s">
        <v>407</v>
      </c>
      <c r="C21" s="34">
        <v>24249</v>
      </c>
      <c r="D21" s="41" t="e">
        <f>E21/#REF!</f>
        <v>#REF!</v>
      </c>
      <c r="E21" s="63">
        <f>SUM(F21:M21)</f>
        <v>24203</v>
      </c>
      <c r="F21" s="32">
        <v>17011</v>
      </c>
      <c r="G21" s="5">
        <v>5090</v>
      </c>
      <c r="H21" s="5">
        <v>1071</v>
      </c>
      <c r="I21" s="5">
        <v>407</v>
      </c>
      <c r="J21" s="5">
        <v>390</v>
      </c>
      <c r="K21" s="5">
        <v>142</v>
      </c>
      <c r="L21" s="5">
        <v>49</v>
      </c>
      <c r="M21" s="27">
        <v>43</v>
      </c>
      <c r="N21" s="96"/>
      <c r="O21" s="42"/>
      <c r="P21" s="55"/>
      <c r="Q21" s="42"/>
      <c r="R21" s="42"/>
      <c r="S21" s="42"/>
      <c r="T21" s="42"/>
      <c r="U21" s="42"/>
      <c r="V21" s="42"/>
      <c r="W21" s="42"/>
      <c r="X21" s="42"/>
      <c r="Y21" s="44"/>
      <c r="Z21" s="44"/>
      <c r="AA21" s="79"/>
      <c r="AB21" s="31"/>
      <c r="AC21" s="55"/>
      <c r="AD21" s="54"/>
      <c r="AE21" s="54"/>
      <c r="AF21" s="42"/>
      <c r="AG21" s="42"/>
      <c r="AH21" s="42"/>
      <c r="AI21" s="42"/>
      <c r="AJ21" s="54"/>
      <c r="AK21" s="42"/>
      <c r="AL21" s="42"/>
      <c r="AM21" s="42"/>
      <c r="AN21" s="42"/>
      <c r="AO21" s="79"/>
      <c r="AP21" s="54"/>
      <c r="AQ21" s="42"/>
      <c r="AR21" s="42"/>
      <c r="AS21" s="42"/>
      <c r="AT21" s="42"/>
      <c r="AU21" s="55"/>
    </row>
    <row r="22" spans="2:47" ht="27" customHeight="1">
      <c r="B22" s="116" t="s">
        <v>408</v>
      </c>
      <c r="C22" s="34">
        <v>46281</v>
      </c>
      <c r="D22" s="41" t="e">
        <f>E22/#REF!</f>
        <v>#REF!</v>
      </c>
      <c r="E22" s="63">
        <f t="shared" si="2"/>
        <v>46279</v>
      </c>
      <c r="F22" s="32">
        <v>34490</v>
      </c>
      <c r="G22" s="5">
        <v>9165</v>
      </c>
      <c r="H22" s="5">
        <v>1737</v>
      </c>
      <c r="I22" s="5">
        <v>575</v>
      </c>
      <c r="J22" s="5">
        <v>208</v>
      </c>
      <c r="K22" s="5">
        <v>81</v>
      </c>
      <c r="L22" s="5">
        <v>16</v>
      </c>
      <c r="M22" s="27">
        <v>7</v>
      </c>
      <c r="N22" s="96"/>
      <c r="O22" s="55"/>
      <c r="P22" s="42"/>
      <c r="Q22" s="54"/>
      <c r="R22" s="55"/>
      <c r="S22" s="42"/>
      <c r="T22" s="42"/>
      <c r="U22" s="42"/>
      <c r="V22" s="54"/>
      <c r="W22" s="42"/>
      <c r="X22" s="42"/>
      <c r="Y22" s="44"/>
      <c r="Z22" s="44"/>
      <c r="AA22" s="79"/>
      <c r="AB22" s="31"/>
      <c r="AC22" s="54"/>
      <c r="AD22" s="42"/>
      <c r="AE22" s="28"/>
      <c r="AF22" s="55"/>
      <c r="AG22" s="42"/>
      <c r="AH22" s="42"/>
      <c r="AI22" s="42"/>
      <c r="AJ22" s="42"/>
      <c r="AK22" s="42"/>
      <c r="AL22" s="42"/>
      <c r="AM22" s="42"/>
      <c r="AN22" s="42"/>
      <c r="AO22" s="79"/>
      <c r="AP22" s="54"/>
      <c r="AQ22" s="42"/>
      <c r="AR22" s="42"/>
      <c r="AS22" s="42"/>
      <c r="AT22" s="42"/>
      <c r="AU22" s="42"/>
    </row>
    <row r="23" spans="2:47" ht="27" customHeight="1">
      <c r="B23" s="116" t="s">
        <v>409</v>
      </c>
      <c r="C23" s="34">
        <v>10681</v>
      </c>
      <c r="D23" s="41" t="e">
        <f>E23/#REF!</f>
        <v>#REF!</v>
      </c>
      <c r="E23" s="63">
        <f t="shared" si="2"/>
        <v>10661</v>
      </c>
      <c r="F23" s="32">
        <v>7336</v>
      </c>
      <c r="G23" s="5">
        <v>2249</v>
      </c>
      <c r="H23" s="5">
        <v>503</v>
      </c>
      <c r="I23" s="5">
        <v>225</v>
      </c>
      <c r="J23" s="5">
        <v>240</v>
      </c>
      <c r="K23" s="5">
        <v>78</v>
      </c>
      <c r="L23" s="5">
        <v>20</v>
      </c>
      <c r="M23" s="27">
        <v>10</v>
      </c>
      <c r="N23" s="96"/>
      <c r="O23" s="42"/>
      <c r="P23" s="55"/>
      <c r="Q23" s="42"/>
      <c r="R23" s="42"/>
      <c r="S23" s="42"/>
      <c r="T23" s="42"/>
      <c r="U23" s="42"/>
      <c r="V23" s="42"/>
      <c r="W23" s="42"/>
      <c r="X23" s="42"/>
      <c r="Y23" s="44"/>
      <c r="Z23" s="44"/>
      <c r="AA23" s="79"/>
      <c r="AB23" s="31"/>
      <c r="AC23" s="45"/>
      <c r="AD23" s="55"/>
      <c r="AE23" s="54"/>
      <c r="AF23" s="42"/>
      <c r="AG23" s="42"/>
      <c r="AH23" s="42"/>
      <c r="AI23" s="54"/>
      <c r="AJ23" s="54"/>
      <c r="AK23" s="42"/>
      <c r="AL23" s="42"/>
      <c r="AM23" s="42"/>
      <c r="AN23" s="42"/>
      <c r="AO23" s="79"/>
      <c r="AP23" s="54"/>
      <c r="AQ23" s="54"/>
      <c r="AR23" s="42"/>
      <c r="AS23" s="42"/>
      <c r="AT23" s="42"/>
      <c r="AU23" s="28"/>
    </row>
    <row r="24" spans="2:47" ht="27" customHeight="1">
      <c r="B24" s="116" t="s">
        <v>410</v>
      </c>
      <c r="C24" s="34">
        <v>1497</v>
      </c>
      <c r="D24" s="41" t="e">
        <f>E24/#REF!</f>
        <v>#REF!</v>
      </c>
      <c r="E24" s="63">
        <f t="shared" si="2"/>
        <v>1470</v>
      </c>
      <c r="F24" s="5">
        <v>1058</v>
      </c>
      <c r="G24" s="5">
        <v>226</v>
      </c>
      <c r="H24" s="5">
        <v>64</v>
      </c>
      <c r="I24" s="5">
        <v>33</v>
      </c>
      <c r="J24" s="5">
        <v>41</v>
      </c>
      <c r="K24" s="5">
        <v>20</v>
      </c>
      <c r="L24" s="5">
        <v>15</v>
      </c>
      <c r="M24" s="5">
        <v>13</v>
      </c>
      <c r="N24" s="96"/>
      <c r="O24" s="42"/>
      <c r="P24" s="55"/>
      <c r="Q24" s="42"/>
      <c r="R24" s="42"/>
      <c r="S24" s="42"/>
      <c r="T24" s="42"/>
      <c r="U24" s="42"/>
      <c r="V24" s="42"/>
      <c r="W24" s="42"/>
      <c r="X24" s="42"/>
      <c r="Y24" s="44"/>
      <c r="Z24" s="44"/>
      <c r="AA24" s="79"/>
      <c r="AB24" s="31"/>
      <c r="AC24" s="54"/>
      <c r="AD24" s="42"/>
      <c r="AE24" s="54"/>
      <c r="AF24" s="55"/>
      <c r="AG24" s="54"/>
      <c r="AH24" s="42"/>
      <c r="AI24" s="42"/>
      <c r="AJ24" s="42"/>
      <c r="AK24" s="42"/>
      <c r="AL24" s="42"/>
      <c r="AM24" s="42"/>
      <c r="AN24" s="42"/>
      <c r="AO24" s="79"/>
      <c r="AP24" s="54"/>
      <c r="AQ24" s="42"/>
      <c r="AR24" s="42"/>
      <c r="AS24" s="42"/>
      <c r="AT24" s="42"/>
      <c r="AU24" s="42"/>
    </row>
    <row r="25" spans="2:47" ht="27" customHeight="1">
      <c r="B25" s="116" t="s">
        <v>411</v>
      </c>
      <c r="C25" s="34">
        <v>8113</v>
      </c>
      <c r="D25" s="41" t="e">
        <f>E25/#REF!</f>
        <v>#REF!</v>
      </c>
      <c r="E25" s="63">
        <f t="shared" si="2"/>
        <v>8042</v>
      </c>
      <c r="F25" s="32">
        <v>4132</v>
      </c>
      <c r="G25" s="5">
        <v>1806</v>
      </c>
      <c r="H25" s="5">
        <v>781</v>
      </c>
      <c r="I25" s="5">
        <v>442</v>
      </c>
      <c r="J25" s="5">
        <v>525</v>
      </c>
      <c r="K25" s="5">
        <v>218</v>
      </c>
      <c r="L25" s="5">
        <v>80</v>
      </c>
      <c r="M25" s="27">
        <v>58</v>
      </c>
      <c r="N25" s="96"/>
      <c r="O25" s="42"/>
      <c r="P25" s="28"/>
      <c r="Q25" s="42"/>
      <c r="R25" s="54"/>
      <c r="S25" s="42"/>
      <c r="T25" s="42"/>
      <c r="U25" s="42"/>
      <c r="V25" s="42"/>
      <c r="W25" s="42"/>
      <c r="X25" s="42"/>
      <c r="Y25" s="44"/>
      <c r="Z25" s="44"/>
      <c r="AA25" s="79"/>
      <c r="AB25" s="31"/>
      <c r="AC25" s="42"/>
      <c r="AD25" s="42"/>
      <c r="AE25" s="42"/>
      <c r="AF25" s="42"/>
      <c r="AG25" s="42"/>
      <c r="AH25" s="54"/>
      <c r="AI25" s="42"/>
      <c r="AJ25" s="55"/>
      <c r="AK25" s="42"/>
      <c r="AL25" s="42"/>
      <c r="AM25" s="42"/>
      <c r="AN25" s="42"/>
      <c r="AO25" s="79"/>
      <c r="AP25" s="54"/>
      <c r="AQ25" s="42"/>
      <c r="AR25" s="42"/>
      <c r="AS25" s="42"/>
      <c r="AT25" s="42"/>
      <c r="AU25" s="42"/>
    </row>
    <row r="26" spans="2:47" ht="27" customHeight="1">
      <c r="B26" s="116" t="s">
        <v>412</v>
      </c>
      <c r="C26" s="34">
        <v>19921</v>
      </c>
      <c r="D26" s="41" t="e">
        <f>E26/#REF!</f>
        <v>#REF!</v>
      </c>
      <c r="E26" s="63">
        <f t="shared" ref="E26:E27" si="3">SUM(F26:M26)</f>
        <v>19833</v>
      </c>
      <c r="F26" s="32">
        <v>13392</v>
      </c>
      <c r="G26" s="5">
        <v>2799</v>
      </c>
      <c r="H26" s="5">
        <v>1322</v>
      </c>
      <c r="I26" s="5">
        <v>940</v>
      </c>
      <c r="J26" s="5">
        <v>545</v>
      </c>
      <c r="K26" s="5">
        <v>470</v>
      </c>
      <c r="L26" s="5">
        <v>227</v>
      </c>
      <c r="M26" s="27">
        <v>138</v>
      </c>
      <c r="N26" s="96"/>
      <c r="O26" s="42"/>
      <c r="P26" s="55"/>
      <c r="Q26" s="42"/>
      <c r="R26" s="42"/>
      <c r="S26" s="42"/>
      <c r="T26" s="42"/>
      <c r="U26" s="42"/>
      <c r="V26" s="42"/>
      <c r="W26" s="42"/>
      <c r="X26" s="42"/>
      <c r="Y26" s="44"/>
      <c r="Z26" s="44"/>
      <c r="AA26" s="79"/>
      <c r="AB26" s="31"/>
      <c r="AC26" s="54"/>
      <c r="AD26" s="42"/>
      <c r="AE26" s="54"/>
      <c r="AF26" s="42"/>
      <c r="AG26" s="54"/>
      <c r="AH26" s="42"/>
      <c r="AI26" s="28"/>
      <c r="AJ26" s="28"/>
      <c r="AK26" s="42"/>
      <c r="AL26" s="42"/>
      <c r="AM26" s="55"/>
      <c r="AN26" s="42"/>
      <c r="AO26" s="79"/>
      <c r="AP26" s="54"/>
      <c r="AQ26" s="42"/>
      <c r="AR26" s="42"/>
      <c r="AS26" s="42"/>
      <c r="AT26" s="42"/>
      <c r="AU26" s="42"/>
    </row>
    <row r="27" spans="2:47" ht="27" customHeight="1">
      <c r="B27" s="116" t="s">
        <v>413</v>
      </c>
      <c r="C27" s="34">
        <v>33537</v>
      </c>
      <c r="D27" s="41" t="e">
        <f>E27/#REF!</f>
        <v>#REF!</v>
      </c>
      <c r="E27" s="63">
        <f t="shared" si="3"/>
        <v>33455</v>
      </c>
      <c r="F27" s="32">
        <v>25363</v>
      </c>
      <c r="G27" s="5">
        <v>5289</v>
      </c>
      <c r="H27" s="5">
        <v>1610</v>
      </c>
      <c r="I27" s="5">
        <v>592</v>
      </c>
      <c r="J27" s="5">
        <v>339</v>
      </c>
      <c r="K27" s="5">
        <v>159</v>
      </c>
      <c r="L27" s="5">
        <v>69</v>
      </c>
      <c r="M27" s="27">
        <v>34</v>
      </c>
      <c r="N27" s="96"/>
      <c r="O27" s="55"/>
      <c r="P27" s="55"/>
      <c r="Q27" s="55"/>
      <c r="R27" s="42"/>
      <c r="S27" s="55"/>
      <c r="T27" s="42"/>
      <c r="U27" s="42"/>
      <c r="V27" s="42"/>
      <c r="W27" s="42"/>
      <c r="X27" s="42"/>
      <c r="Y27" s="44"/>
      <c r="Z27" s="44"/>
      <c r="AA27" s="79"/>
      <c r="AB27" s="57"/>
      <c r="AC27" s="42"/>
      <c r="AD27" s="42"/>
      <c r="AE27" s="54"/>
      <c r="AF27" s="54"/>
      <c r="AG27" s="54"/>
      <c r="AH27" s="55"/>
      <c r="AI27" s="42"/>
      <c r="AJ27" s="55"/>
      <c r="AK27" s="42"/>
      <c r="AL27" s="42"/>
      <c r="AM27" s="54"/>
      <c r="AN27" s="42"/>
      <c r="AO27" s="79"/>
      <c r="AP27" s="54"/>
      <c r="AQ27" s="42"/>
      <c r="AR27" s="55"/>
      <c r="AS27" s="55"/>
      <c r="AT27" s="42"/>
      <c r="AU27" s="42"/>
    </row>
    <row r="38" spans="54:55">
      <c r="BB38" s="244"/>
      <c r="BC38" s="245"/>
    </row>
    <row r="39" spans="54:55">
      <c r="BB39" s="244"/>
      <c r="BC39" s="245"/>
    </row>
    <row r="40" spans="54:55">
      <c r="BB40" s="244"/>
      <c r="BC40" s="245"/>
    </row>
    <row r="41" spans="54:55">
      <c r="BB41" s="244"/>
      <c r="BC41" s="245"/>
    </row>
  </sheetData>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rgb="FFFFFF00"/>
  </sheetPr>
  <dimension ref="B1:AU42"/>
  <sheetViews>
    <sheetView topLeftCell="AF1" zoomScale="91" zoomScaleNormal="91" workbookViewId="0">
      <selection activeCell="AG1" sqref="AG1"/>
    </sheetView>
  </sheetViews>
  <sheetFormatPr defaultColWidth="11.453125" defaultRowHeight="12.5"/>
  <cols>
    <col min="2" max="36" width="46.54296875" customWidth="1"/>
    <col min="44" max="44" width="10.453125" customWidth="1"/>
    <col min="45" max="45" width="9.1796875" customWidth="1"/>
    <col min="46" max="46" width="21.7265625" customWidth="1"/>
    <col min="47" max="47" width="7.54296875" customWidth="1"/>
  </cols>
  <sheetData>
    <row r="1" spans="2:36" ht="204.5">
      <c r="B1" s="49" t="s">
        <v>414</v>
      </c>
      <c r="C1" s="82" t="s">
        <v>357</v>
      </c>
      <c r="D1" s="81" t="s">
        <v>358</v>
      </c>
      <c r="E1" s="82" t="s">
        <v>359</v>
      </c>
      <c r="F1" s="81" t="s">
        <v>360</v>
      </c>
      <c r="G1" s="82" t="s">
        <v>361</v>
      </c>
      <c r="H1" s="81" t="s">
        <v>362</v>
      </c>
      <c r="I1" s="82" t="s">
        <v>363</v>
      </c>
      <c r="J1" s="81" t="s">
        <v>415</v>
      </c>
      <c r="K1" s="82" t="s">
        <v>365</v>
      </c>
      <c r="L1" s="81" t="s">
        <v>366</v>
      </c>
      <c r="M1" s="82" t="s">
        <v>367</v>
      </c>
      <c r="N1" s="81" t="s">
        <v>534</v>
      </c>
      <c r="O1" s="82" t="s">
        <v>416</v>
      </c>
      <c r="P1" s="48" t="s">
        <v>369</v>
      </c>
      <c r="Q1" s="81" t="s">
        <v>417</v>
      </c>
      <c r="R1" s="82" t="s">
        <v>371</v>
      </c>
      <c r="S1" s="81" t="s">
        <v>372</v>
      </c>
      <c r="T1" s="82" t="s">
        <v>373</v>
      </c>
      <c r="U1" s="81" t="s">
        <v>374</v>
      </c>
      <c r="V1" s="82" t="s">
        <v>375</v>
      </c>
      <c r="W1" s="81" t="s">
        <v>376</v>
      </c>
      <c r="X1" s="82" t="s">
        <v>418</v>
      </c>
      <c r="Y1" s="81" t="s">
        <v>419</v>
      </c>
      <c r="Z1" s="82" t="s">
        <v>379</v>
      </c>
      <c r="AA1" s="81" t="s">
        <v>420</v>
      </c>
      <c r="AB1" s="82" t="s">
        <v>421</v>
      </c>
      <c r="AC1" s="81" t="s">
        <v>382</v>
      </c>
      <c r="AD1" s="50" t="s">
        <v>383</v>
      </c>
      <c r="AE1" s="81" t="s">
        <v>384</v>
      </c>
      <c r="AF1" s="82" t="s">
        <v>385</v>
      </c>
      <c r="AG1" s="81" t="s">
        <v>422</v>
      </c>
      <c r="AH1" s="82" t="s">
        <v>387</v>
      </c>
      <c r="AI1" s="81" t="s">
        <v>388</v>
      </c>
      <c r="AJ1" s="82" t="s">
        <v>389</v>
      </c>
    </row>
    <row r="2" spans="2:36" ht="181.5" customHeight="1">
      <c r="B2" s="94" t="s">
        <v>423</v>
      </c>
      <c r="C2" s="25" t="s">
        <v>424</v>
      </c>
      <c r="D2" s="25" t="s">
        <v>425</v>
      </c>
      <c r="E2" s="25" t="s">
        <v>426</v>
      </c>
      <c r="F2" s="25" t="s">
        <v>427</v>
      </c>
      <c r="G2" s="25" t="s">
        <v>428</v>
      </c>
      <c r="H2" s="25" t="s">
        <v>429</v>
      </c>
      <c r="I2" s="25" t="s">
        <v>430</v>
      </c>
      <c r="J2" s="25" t="s">
        <v>431</v>
      </c>
      <c r="K2" s="25" t="s">
        <v>432</v>
      </c>
      <c r="L2" s="25" t="s">
        <v>433</v>
      </c>
      <c r="M2" s="25" t="s">
        <v>434</v>
      </c>
      <c r="N2" s="25" t="s">
        <v>435</v>
      </c>
      <c r="O2" s="25" t="s">
        <v>436</v>
      </c>
      <c r="P2" s="72"/>
      <c r="Q2" s="25" t="s">
        <v>437</v>
      </c>
      <c r="R2" s="25" t="s">
        <v>438</v>
      </c>
      <c r="S2" s="25" t="s">
        <v>439</v>
      </c>
      <c r="T2" s="25" t="s">
        <v>440</v>
      </c>
      <c r="U2" s="25" t="s">
        <v>441</v>
      </c>
      <c r="V2" s="25" t="s">
        <v>442</v>
      </c>
      <c r="W2" s="25" t="s">
        <v>443</v>
      </c>
      <c r="X2" s="25" t="s">
        <v>444</v>
      </c>
      <c r="Y2" s="25" t="s">
        <v>445</v>
      </c>
      <c r="Z2" s="25" t="s">
        <v>446</v>
      </c>
      <c r="AA2" s="25" t="s">
        <v>447</v>
      </c>
      <c r="AB2" s="25" t="s">
        <v>448</v>
      </c>
      <c r="AC2" s="25" t="s">
        <v>449</v>
      </c>
      <c r="AD2" s="72"/>
      <c r="AE2" s="25" t="s">
        <v>450</v>
      </c>
      <c r="AF2" s="25" t="s">
        <v>451</v>
      </c>
      <c r="AG2" s="25" t="s">
        <v>452</v>
      </c>
      <c r="AH2" s="25" t="s">
        <v>453</v>
      </c>
      <c r="AI2" s="25" t="s">
        <v>454</v>
      </c>
      <c r="AJ2" s="25" t="s">
        <v>455</v>
      </c>
    </row>
    <row r="3" spans="2:36" ht="137.15" customHeight="1">
      <c r="B3" s="21" t="s">
        <v>456</v>
      </c>
      <c r="C3" s="121"/>
      <c r="AE3" s="120" t="s">
        <v>457</v>
      </c>
      <c r="AI3" s="120" t="s">
        <v>458</v>
      </c>
    </row>
    <row r="39" spans="46:47">
      <c r="AT39" s="125" t="s">
        <v>459</v>
      </c>
      <c r="AU39" s="126"/>
    </row>
    <row r="40" spans="46:47">
      <c r="AT40" s="125" t="s">
        <v>460</v>
      </c>
      <c r="AU40" s="55"/>
    </row>
    <row r="41" spans="46:47">
      <c r="AT41" s="125" t="s">
        <v>461</v>
      </c>
      <c r="AU41" s="28"/>
    </row>
    <row r="42" spans="46:47">
      <c r="AT42" s="125" t="s">
        <v>462</v>
      </c>
      <c r="AU42" s="42"/>
    </row>
  </sheetData>
  <conditionalFormatting sqref="A13">
    <cfRule type="containsText" dxfId="836" priority="1" operator="containsText" text="Pendiente">
      <formula>NOT(ISERROR(SEARCH("Pendiente",A13)))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rgb="FF7030A0"/>
  </sheetPr>
  <dimension ref="A1:D39"/>
  <sheetViews>
    <sheetView workbookViewId="0">
      <selection activeCell="B2" sqref="B2"/>
    </sheetView>
  </sheetViews>
  <sheetFormatPr defaultColWidth="11.453125" defaultRowHeight="12.5"/>
  <cols>
    <col min="1" max="1" width="38.453125" customWidth="1"/>
    <col min="2" max="2" width="30.81640625" customWidth="1"/>
    <col min="3" max="3" width="29.453125" customWidth="1"/>
    <col min="4" max="4" width="75.81640625" customWidth="1"/>
  </cols>
  <sheetData>
    <row r="1" spans="1:4">
      <c r="A1" s="21" t="s">
        <v>463</v>
      </c>
      <c r="B1" s="21" t="s">
        <v>464</v>
      </c>
      <c r="C1" s="21" t="s">
        <v>465</v>
      </c>
      <c r="D1" s="21" t="s">
        <v>466</v>
      </c>
    </row>
    <row r="2" spans="1:4">
      <c r="A2" s="21" t="s">
        <v>467</v>
      </c>
      <c r="B2" s="21" t="s">
        <v>468</v>
      </c>
      <c r="C2" s="21" t="s">
        <v>469</v>
      </c>
      <c r="D2" t="s">
        <v>470</v>
      </c>
    </row>
    <row r="3" spans="1:4">
      <c r="A3" s="21" t="s">
        <v>467</v>
      </c>
      <c r="B3" s="21" t="s">
        <v>468</v>
      </c>
      <c r="C3" s="21" t="s">
        <v>471</v>
      </c>
      <c r="D3" t="s">
        <v>472</v>
      </c>
    </row>
    <row r="4" spans="1:4">
      <c r="A4" s="21" t="s">
        <v>473</v>
      </c>
      <c r="B4" s="21" t="s">
        <v>468</v>
      </c>
      <c r="C4" s="21" t="s">
        <v>474</v>
      </c>
      <c r="D4" t="s">
        <v>475</v>
      </c>
    </row>
    <row r="5" spans="1:4">
      <c r="A5" s="21" t="s">
        <v>473</v>
      </c>
      <c r="B5" s="21" t="s">
        <v>468</v>
      </c>
      <c r="C5" s="21" t="s">
        <v>476</v>
      </c>
      <c r="D5" t="s">
        <v>472</v>
      </c>
    </row>
    <row r="6" spans="1:4">
      <c r="A6" s="21" t="s">
        <v>477</v>
      </c>
      <c r="B6" s="21" t="s">
        <v>468</v>
      </c>
      <c r="C6" s="21" t="s">
        <v>478</v>
      </c>
      <c r="D6" t="s">
        <v>479</v>
      </c>
    </row>
    <row r="7" spans="1:4">
      <c r="A7" s="21" t="s">
        <v>477</v>
      </c>
      <c r="B7" s="21" t="s">
        <v>468</v>
      </c>
      <c r="C7" s="21" t="s">
        <v>480</v>
      </c>
      <c r="D7" t="s">
        <v>481</v>
      </c>
    </row>
    <row r="8" spans="1:4">
      <c r="A8" s="21" t="s">
        <v>477</v>
      </c>
      <c r="B8" s="21" t="s">
        <v>468</v>
      </c>
      <c r="C8" s="21" t="s">
        <v>482</v>
      </c>
      <c r="D8" t="s">
        <v>472</v>
      </c>
    </row>
    <row r="9" spans="1:4">
      <c r="A9" s="21" t="s">
        <v>483</v>
      </c>
      <c r="B9" s="21" t="s">
        <v>468</v>
      </c>
      <c r="C9" s="21" t="s">
        <v>484</v>
      </c>
      <c r="D9" t="s">
        <v>479</v>
      </c>
    </row>
    <row r="10" spans="1:4">
      <c r="A10" s="21" t="s">
        <v>483</v>
      </c>
      <c r="B10" s="21" t="s">
        <v>468</v>
      </c>
      <c r="C10" s="21" t="s">
        <v>485</v>
      </c>
      <c r="D10" t="s">
        <v>472</v>
      </c>
    </row>
    <row r="11" spans="1:4">
      <c r="A11" s="21" t="s">
        <v>486</v>
      </c>
      <c r="B11" s="21" t="s">
        <v>468</v>
      </c>
      <c r="C11" t="s">
        <v>487</v>
      </c>
      <c r="D11" t="s">
        <v>488</v>
      </c>
    </row>
    <row r="12" spans="1:4">
      <c r="A12" s="21" t="s">
        <v>486</v>
      </c>
      <c r="B12" s="21" t="s">
        <v>468</v>
      </c>
      <c r="C12" t="s">
        <v>489</v>
      </c>
      <c r="D12" t="s">
        <v>490</v>
      </c>
    </row>
    <row r="13" spans="1:4">
      <c r="A13" s="21" t="s">
        <v>486</v>
      </c>
      <c r="B13" s="21" t="s">
        <v>468</v>
      </c>
      <c r="C13" t="s">
        <v>491</v>
      </c>
      <c r="D13" t="s">
        <v>472</v>
      </c>
    </row>
    <row r="14" spans="1:4">
      <c r="A14" s="21" t="s">
        <v>492</v>
      </c>
      <c r="B14" s="21" t="s">
        <v>468</v>
      </c>
      <c r="C14" s="21" t="s">
        <v>493</v>
      </c>
      <c r="D14" t="s">
        <v>494</v>
      </c>
    </row>
    <row r="15" spans="1:4">
      <c r="A15" s="21" t="s">
        <v>492</v>
      </c>
      <c r="B15" s="21" t="s">
        <v>468</v>
      </c>
      <c r="C15" s="21" t="s">
        <v>495</v>
      </c>
      <c r="D15" t="s">
        <v>472</v>
      </c>
    </row>
    <row r="16" spans="1:4">
      <c r="A16" s="21" t="s">
        <v>496</v>
      </c>
      <c r="B16" s="21" t="s">
        <v>468</v>
      </c>
      <c r="C16" t="s">
        <v>497</v>
      </c>
      <c r="D16" t="s">
        <v>498</v>
      </c>
    </row>
    <row r="17" spans="1:4">
      <c r="A17" s="21" t="s">
        <v>496</v>
      </c>
      <c r="B17" s="21" t="s">
        <v>468</v>
      </c>
      <c r="C17" t="s">
        <v>499</v>
      </c>
      <c r="D17" t="s">
        <v>472</v>
      </c>
    </row>
    <row r="18" spans="1:4">
      <c r="A18" s="21" t="s">
        <v>496</v>
      </c>
      <c r="B18" s="21" t="s">
        <v>468</v>
      </c>
      <c r="C18" t="s">
        <v>500</v>
      </c>
      <c r="D18" t="s">
        <v>472</v>
      </c>
    </row>
    <row r="19" spans="1:4">
      <c r="A19" s="21" t="s">
        <v>501</v>
      </c>
      <c r="B19" s="21" t="s">
        <v>468</v>
      </c>
      <c r="C19" t="s">
        <v>480</v>
      </c>
      <c r="D19" t="s">
        <v>498</v>
      </c>
    </row>
    <row r="20" spans="1:4">
      <c r="A20" s="21" t="s">
        <v>501</v>
      </c>
      <c r="B20" s="21" t="s">
        <v>468</v>
      </c>
      <c r="C20" t="s">
        <v>502</v>
      </c>
      <c r="D20" t="s">
        <v>472</v>
      </c>
    </row>
    <row r="21" spans="1:4">
      <c r="A21" s="21" t="s">
        <v>501</v>
      </c>
      <c r="B21" s="21" t="s">
        <v>468</v>
      </c>
      <c r="C21" t="s">
        <v>503</v>
      </c>
      <c r="D21" t="s">
        <v>472</v>
      </c>
    </row>
    <row r="22" spans="1:4">
      <c r="A22" s="21" t="s">
        <v>501</v>
      </c>
      <c r="B22" s="21" t="s">
        <v>468</v>
      </c>
      <c r="C22" t="s">
        <v>504</v>
      </c>
      <c r="D22" t="s">
        <v>472</v>
      </c>
    </row>
    <row r="23" spans="1:4">
      <c r="A23" s="21" t="s">
        <v>505</v>
      </c>
      <c r="B23" s="21" t="s">
        <v>468</v>
      </c>
      <c r="C23" s="21" t="s">
        <v>506</v>
      </c>
      <c r="D23" s="22" t="s">
        <v>507</v>
      </c>
    </row>
    <row r="24" spans="1:4">
      <c r="A24" s="21" t="s">
        <v>505</v>
      </c>
      <c r="B24" s="21" t="s">
        <v>468</v>
      </c>
      <c r="C24" s="21" t="s">
        <v>508</v>
      </c>
      <c r="D24" t="s">
        <v>472</v>
      </c>
    </row>
    <row r="25" spans="1:4">
      <c r="A25" s="21" t="s">
        <v>509</v>
      </c>
      <c r="B25" s="21" t="s">
        <v>468</v>
      </c>
      <c r="C25" s="21" t="s">
        <v>510</v>
      </c>
      <c r="D25" t="s">
        <v>472</v>
      </c>
    </row>
    <row r="26" spans="1:4">
      <c r="A26" s="21" t="s">
        <v>511</v>
      </c>
      <c r="B26" s="21" t="s">
        <v>468</v>
      </c>
      <c r="C26" t="s">
        <v>512</v>
      </c>
      <c r="D26" t="s">
        <v>513</v>
      </c>
    </row>
    <row r="27" spans="1:4">
      <c r="A27" s="21" t="s">
        <v>511</v>
      </c>
      <c r="B27" s="21" t="s">
        <v>468</v>
      </c>
      <c r="C27" t="s">
        <v>514</v>
      </c>
      <c r="D27" t="s">
        <v>472</v>
      </c>
    </row>
    <row r="28" spans="1:4">
      <c r="A28" s="21" t="s">
        <v>511</v>
      </c>
      <c r="B28" s="21" t="s">
        <v>468</v>
      </c>
      <c r="C28" t="s">
        <v>515</v>
      </c>
      <c r="D28" t="s">
        <v>472</v>
      </c>
    </row>
    <row r="29" spans="1:4">
      <c r="A29" s="21" t="s">
        <v>516</v>
      </c>
      <c r="B29" s="21" t="s">
        <v>468</v>
      </c>
      <c r="C29" s="21" t="s">
        <v>517</v>
      </c>
      <c r="D29" s="22" t="s">
        <v>518</v>
      </c>
    </row>
    <row r="30" spans="1:4">
      <c r="A30" s="21" t="s">
        <v>516</v>
      </c>
      <c r="B30" s="21" t="s">
        <v>468</v>
      </c>
      <c r="C30" s="21" t="s">
        <v>519</v>
      </c>
      <c r="D30" t="s">
        <v>472</v>
      </c>
    </row>
    <row r="31" spans="1:4" ht="25">
      <c r="A31" s="21" t="s">
        <v>520</v>
      </c>
      <c r="B31" s="21" t="s">
        <v>468</v>
      </c>
      <c r="C31" s="172" t="s">
        <v>521</v>
      </c>
      <c r="D31" s="172" t="s">
        <v>472</v>
      </c>
    </row>
    <row r="32" spans="1:4" ht="25">
      <c r="A32" s="21" t="s">
        <v>520</v>
      </c>
      <c r="B32" s="21" t="s">
        <v>468</v>
      </c>
      <c r="C32" s="172" t="s">
        <v>522</v>
      </c>
      <c r="D32" s="172" t="s">
        <v>472</v>
      </c>
    </row>
    <row r="33" spans="1:4" ht="25">
      <c r="A33" s="21" t="s">
        <v>520</v>
      </c>
      <c r="B33" s="21" t="s">
        <v>468</v>
      </c>
      <c r="C33" s="172" t="s">
        <v>523</v>
      </c>
      <c r="D33" s="172" t="s">
        <v>524</v>
      </c>
    </row>
    <row r="34" spans="1:4">
      <c r="A34" s="21" t="s">
        <v>525</v>
      </c>
      <c r="B34" s="21" t="s">
        <v>468</v>
      </c>
      <c r="C34" s="173" t="s">
        <v>526</v>
      </c>
      <c r="D34" s="172" t="s">
        <v>472</v>
      </c>
    </row>
    <row r="35" spans="1:4" ht="25">
      <c r="A35" s="21" t="s">
        <v>527</v>
      </c>
      <c r="B35" s="21" t="s">
        <v>468</v>
      </c>
      <c r="C35" s="172" t="s">
        <v>528</v>
      </c>
      <c r="D35" s="172" t="s">
        <v>472</v>
      </c>
    </row>
    <row r="36" spans="1:4" ht="25">
      <c r="A36" s="21" t="s">
        <v>527</v>
      </c>
      <c r="B36" s="21" t="s">
        <v>468</v>
      </c>
      <c r="C36" s="172" t="s">
        <v>529</v>
      </c>
      <c r="D36" s="172" t="s">
        <v>472</v>
      </c>
    </row>
    <row r="37" spans="1:4" ht="25">
      <c r="A37" s="21" t="s">
        <v>527</v>
      </c>
      <c r="B37" s="21" t="s">
        <v>468</v>
      </c>
      <c r="C37" s="172" t="s">
        <v>530</v>
      </c>
      <c r="D37" s="172" t="s">
        <v>472</v>
      </c>
    </row>
    <row r="38" spans="1:4">
      <c r="A38" s="21" t="s">
        <v>527</v>
      </c>
      <c r="B38" s="21" t="s">
        <v>468</v>
      </c>
      <c r="C38" s="74" t="s">
        <v>531</v>
      </c>
      <c r="D38" s="172" t="s">
        <v>532</v>
      </c>
    </row>
    <row r="39" spans="1:4">
      <c r="B39" s="21"/>
    </row>
  </sheetData>
  <hyperlinks>
    <hyperlink ref="D23" r:id="rId1"/>
    <hyperlink ref="D29" r:id="rId2"/>
  </hyperlinks>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theme="9" tint="0.39997558519241921"/>
  </sheetPr>
  <dimension ref="A1:AO64"/>
  <sheetViews>
    <sheetView showGridLines="0" zoomScale="70" zoomScaleNormal="70" workbookViewId="0">
      <selection activeCell="D5" sqref="D5"/>
    </sheetView>
  </sheetViews>
  <sheetFormatPr defaultColWidth="11.453125" defaultRowHeight="12.5"/>
  <cols>
    <col min="1" max="1" width="15.453125" customWidth="1"/>
    <col min="2" max="2" width="36.453125" customWidth="1"/>
    <col min="3" max="3" width="18.81640625" customWidth="1"/>
    <col min="4" max="11" width="65.54296875" customWidth="1"/>
    <col min="12" max="13" width="43.453125" customWidth="1"/>
    <col min="14" max="14" width="31.453125" customWidth="1"/>
    <col min="15" max="15" width="19.54296875" customWidth="1"/>
    <col min="16" max="16" width="73.54296875" customWidth="1"/>
    <col min="17" max="17" width="19.26953125" style="24" customWidth="1"/>
    <col min="18" max="18" width="29.81640625" style="24" customWidth="1"/>
    <col min="19" max="24" width="43.453125" customWidth="1"/>
  </cols>
  <sheetData>
    <row r="1" spans="1:41" ht="112" customHeight="1">
      <c r="A1" s="78"/>
      <c r="D1" s="310" t="s">
        <v>391</v>
      </c>
      <c r="E1" s="93" t="s">
        <v>533</v>
      </c>
      <c r="S1" s="83"/>
      <c r="T1" s="87"/>
      <c r="U1" s="83"/>
      <c r="V1" s="86"/>
      <c r="W1" s="86"/>
      <c r="X1" s="83"/>
      <c r="Y1" s="83"/>
      <c r="Z1" s="83"/>
      <c r="AA1" s="83"/>
      <c r="AB1" s="83"/>
      <c r="AC1" s="83"/>
      <c r="AD1" s="83"/>
      <c r="AE1" s="83"/>
      <c r="AF1" s="83"/>
      <c r="AG1" s="83"/>
      <c r="AH1" s="83"/>
      <c r="AI1" s="84"/>
      <c r="AJ1" s="83"/>
      <c r="AK1" s="83"/>
      <c r="AL1" s="83"/>
      <c r="AM1" s="83"/>
      <c r="AN1" s="83"/>
      <c r="AO1" s="83"/>
    </row>
    <row r="2" spans="1:41" ht="30" customHeight="1">
      <c r="A2" s="78"/>
      <c r="E2" s="80"/>
      <c r="F2" s="85"/>
      <c r="G2" s="86"/>
      <c r="H2" s="86"/>
      <c r="I2" s="86"/>
      <c r="J2" s="86"/>
      <c r="K2" s="86"/>
      <c r="L2" s="86"/>
      <c r="M2" s="83"/>
    </row>
    <row r="3" spans="1:41" ht="50.15" customHeight="1">
      <c r="A3" s="80"/>
      <c r="B3" s="79"/>
      <c r="C3" s="89"/>
      <c r="D3" s="90" t="s">
        <v>360</v>
      </c>
      <c r="E3" s="90" t="s">
        <v>365</v>
      </c>
      <c r="F3" s="90" t="s">
        <v>534</v>
      </c>
      <c r="G3" s="90" t="s">
        <v>366</v>
      </c>
      <c r="H3" s="237" t="s">
        <v>358</v>
      </c>
      <c r="I3" s="237" t="s">
        <v>361</v>
      </c>
      <c r="J3" s="237" t="s">
        <v>362</v>
      </c>
      <c r="K3" s="236" t="s">
        <v>367</v>
      </c>
    </row>
    <row r="4" spans="1:41" ht="150" customHeight="1">
      <c r="B4" s="98" t="s">
        <v>423</v>
      </c>
      <c r="C4" s="266" t="s">
        <v>356</v>
      </c>
      <c r="D4" s="95" t="str">
        <f>HLOOKUP(D3,AUTO!$B$1:$AJ$2,2,FALSE)</f>
        <v xml:space="preserve">La gestió sostenible de l'aigua tracta d'assegurar que el consum i ús d'aquesta aigua per part de l'empresa estiguin alineats amb la capacitat de recuperar-se de l'ecosistema i no generin impactes negatius. Les necessitats de consumir aigua estan lligades al sector i a la ubicació de la planta. És important destacar que les empreses amb operacions en zones amb estrès hídric caldrà que avaluïn com fer una gestió sostenible dels recursos hídrics. Això inclou reduir el consum d'aigua, millorar la captura i reutilització de les aigües grises i millorar el tractament d'aigües residuals, entre d'altres. </v>
      </c>
      <c r="E4" s="95" t="str">
        <f>HLOOKUP(E3,AUTO!$B$1:$AJ$2,2,FALSE)</f>
        <v xml:space="preserve">El subministrament de matèries primeres és un tema crucial per a la sostenibilitat d'aquells sectors molt intensius en materials. Aquí les empreses haurien d'avaluar oportunitats per a una adquisició de matèries de manera sostenible amb proveïdors confiables i certificats i estratègies de recuperació de material que es pugui recuperar com a matèria primera. Aquest tema pot ser important tant per a empreses que adquireixen matèries primeres com per a empreses que adquireixen prefabricats o productes. Un exemple és la cadena de subministrament d'empreses alimentàries, on és obligatori poder demostrar que el producte utilitzat no prové de zones amb alta deforestació. </v>
      </c>
      <c r="F4" s="95" t="str">
        <f>HLOOKUP(F3,AUTO!$B$1:$AJ$2,2,FALSE)</f>
        <v xml:space="preserve">Els materials d'embalatge son part del dia a dia i en certs casos acaben a la natura. És important que el productor faci un exercici d'ecodisseny que asseguri el mínim ús de material i la màxima reciclabilitat. </v>
      </c>
      <c r="G4" s="95" t="str">
        <f>HLOOKUP(G3,AUTO!$B$1:$AJ$2,2,FALSE)</f>
        <v>Les emissions de contaminants com el diòxid de sofre (SOx), el diòxid de nitrogen (NOx) i els Compostos Orgànics Volàtils (VOC), entre d'altres, poden tenir un impacte significatiu sobre la qualitat de l'aire. Una mala qualitat de l'aire pot tenir efectes negatius tant sobre el medi ambient com sobre la salut de les comunitats afectades. Per tant, les empreses que duen a terme operacions que produeixen emissions a l'aire han d'avaluar el seu impacte sobre la qualitat de l'aire mitjançant controls regulars duts a terme per l'autoritat ambiental competent. Les empreses podrien considerar la instal·lació de filtres i altres mesures destinades a reduir les emissions de contaminants atmosfèrics.</v>
      </c>
      <c r="H4" s="95" t="str">
        <f>HLOOKUP(H3,AUTO!$B$1:$AJ$2,2,FALSE)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I4" s="95" t="str">
        <f>HLOOKUP(I3,AUTO!$B$1:$AJ$2,2,FALSE)</f>
        <v>La gestió de residus perillosos i no perillosos és un àmbit en constant evolució normativa. L'adequada gestió de residus i materials perillosos és clau per reduir la contaminació causada per l'empresa o els productes que posa al mercat. Optimitzar el disseny i la producció i treballar paral·lelament a millorar la gestió de residus és clau per transicionar envers una economia circular que redueixi la necessitat d'explotació de nous recursos naturals. Per tant, les empreses que gestionen els seus residus i eviten la seva generació són més sostenibles i estan més alineades amb els principis de l'economia circular.</v>
      </c>
      <c r="J4" s="95" t="str">
        <f>HLOOKUP(J3,AUTO!$B$1:$AJ$2,2,FALSE)</f>
        <v>Aquesta categoria se centra en els impactes de les operacions o els actius d'una empresa sobre ecosistemes i la seva biodiversitat. Les activitats amb potencials impactes significatius són aquelles vinculades amb canvis en l'ús del sòl per a exploració/explotació de recursos naturals, construcció, agricultura extensiva, etc. Els impactes poden produir pèrdua de biodiversitat, destrucció d'hàbitats, deforestació i pèrdua de serveis ecosistèmics bàsics. Les empreses haurien d'avaluar les seves dependències i impactes sobre el capital natural (natura), mitigar els riscos associats i fomentar un impacte positiu en totes les fases de la cadena de valor de l'empresa.</v>
      </c>
      <c r="K4" s="205" t="str">
        <f>HLOOKUP(K3,AUTO!$B$1:$AJ$2,2,FALSE)</f>
        <v>Garantir la seguretat química és de gran importància per preservar els ecosistemes i protegir les comunitats properes a instal·lacions que empren substàncies químiques perilloses. Les empreses que comercialitzen productes que contenen substàncies químiques perilloses susceptibles d'entrar en contacte amb l'entorn natural o els usuaris d'aquests productes és essencial que prenguin totes les mesures necessàries per prevenir aquesta situació. Millorar la seguretat química pot implicar la recerca d'alternatives de materials per a l'ús en els seus productes, dissenyar productes de manera segura per prevenir fuites de substàncies i elaborar un pla de gestió de residus al final del cicle de vida del producte.</v>
      </c>
    </row>
    <row r="5" spans="1:41" ht="150" customHeight="1">
      <c r="B5" s="98" t="s">
        <v>456</v>
      </c>
      <c r="C5" s="267"/>
      <c r="D5" s="120" t="s">
        <v>535</v>
      </c>
      <c r="E5" s="120" t="s">
        <v>536</v>
      </c>
      <c r="F5" s="120" t="s">
        <v>537</v>
      </c>
      <c r="G5" s="120" t="s">
        <v>538</v>
      </c>
      <c r="H5" s="120" t="s">
        <v>539</v>
      </c>
      <c r="I5" s="120" t="s">
        <v>1321</v>
      </c>
      <c r="J5" s="120" t="s">
        <v>1208</v>
      </c>
      <c r="K5" s="120" t="s">
        <v>540</v>
      </c>
    </row>
    <row r="6" spans="1:41" ht="50.15" customHeight="1">
      <c r="B6" s="110"/>
      <c r="C6" s="268" t="s">
        <v>369</v>
      </c>
      <c r="D6" s="90" t="s">
        <v>374</v>
      </c>
      <c r="E6" s="90" t="s">
        <v>379</v>
      </c>
      <c r="F6" s="91" t="s">
        <v>417</v>
      </c>
      <c r="G6" s="91" t="s">
        <v>420</v>
      </c>
      <c r="H6" s="91" t="s">
        <v>418</v>
      </c>
      <c r="I6" s="88" t="s">
        <v>371</v>
      </c>
    </row>
    <row r="7" spans="1:41" ht="150" customHeight="1">
      <c r="B7" s="98" t="s">
        <v>423</v>
      </c>
      <c r="C7" s="266"/>
      <c r="D7" s="95" t="str">
        <f>HLOOKUP(D6,AUTO!$B$1:$AJ$2,2,FALSE)</f>
        <v>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v>
      </c>
      <c r="E7" s="95" t="str">
        <f>HLOOKUP(E6,AUTO!$B$1:$AJ$2,2,FALSE)</f>
        <v>Particularment en la indústria alimentària i de begudes, les oportunitats relacionades amb la nutrició i la salut són fonamentals per proporcionar productes de més qualitat als consumidors. Des d'una perspectiva de sostenibilitat social, és crucial que les empreses aprofitin les oportunitats per oferir productes amb un major valor nutricional i beneficis per a la salut dels consumidors. Aquelles empreses que aprofiten aquestes oportunitats poden destacar en el mercat, la qual cosa al seu torn contribueix a la seva sostenibilitat econòmica.</v>
      </c>
      <c r="F7" s="95" t="str">
        <f>HLOOKUP(F6,AUTO!$B$1:$AJ$2,2,FALSE)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G7" s="95" t="str">
        <f>HLOOKUP(G6,AUTO!$B$1:$AJ$2,2,FALSE)</f>
        <v>És crucial mantenir alts estàndards laborals i condicions de treball dignes per a tots els empleats en la cadena de valor. L'empresa s'ha d'assegurar que tots els seus proveïdors respectin els drets laborals i humans, la qual cosa inclou garantir una remuneració justa, horaris laborals adequats i la prohibició del treball forçós i el treball infantil. Per assegurar condicions laborals acceptables en tota la cadena de valor, l'empresa pot requerir el compliment d'un codi de conducta per part dels seus proveïdors i dur a terme auditories en alguns d'ells per verificar-ne el compliment.</v>
      </c>
      <c r="H7" s="95" t="str">
        <f>HLOOKUP(H6,AUTO!$B$1:$AJ$2,2,FALSE)</f>
        <v>És essencial mantenir Bones Pràctiques en la venda i l'etiquetatge de productes per prevenir qualsevol pràctica enganyosa. Les pràctiques enganyoses poden portar els consumidors a triar un producte que no s'ajusti a les seves necessitats o requeriments. Per tant, per garantir Bones Pràctiques en la venda i l'etiquetatge, una empresa ha de gestionar la transparència de la informació relacionada amb els seus productes, operacions i cadenes de valor. A més, és fonamental proporcionar informació precisa i rellevant sobre els productes, sense ocultar desavantatges o altres tipus d'informació d'interès.</v>
      </c>
      <c r="I7" s="95" t="str">
        <f>HLOOKUP(I6,AUTO!$B$1:$AJ$2,2,FALSE)</f>
        <v>El desenvolupament del capital humà pot ser un factor important per a empreses en sectors que requereixen coneixements o habilitats específiques. Les empreses que no inverteixen en el desenvolupament dels seus empleats poden perdre competitivitat en el mercat laboral, la qual cosa pot afectar la seva capacitat d'atreure i mantenir personal capacitat. Per assegurar la sostenibilitat social i econòmica en el futur, l'empresa pot oferir oportunitats de creixement al seu personal. En la mateixa línia, per mantenir una posició competitiva al mercat, les empreses han d'invertir en la formació i educació dels seus empleats.</v>
      </c>
      <c r="J7" s="73"/>
    </row>
    <row r="8" spans="1:41" ht="150" customHeight="1">
      <c r="B8" s="98" t="s">
        <v>456</v>
      </c>
      <c r="C8" s="267"/>
      <c r="D8" s="120" t="s">
        <v>541</v>
      </c>
      <c r="E8" s="120" t="s">
        <v>542</v>
      </c>
      <c r="F8" s="120" t="s">
        <v>1194</v>
      </c>
      <c r="G8" s="120" t="s">
        <v>543</v>
      </c>
      <c r="H8" s="120" t="s">
        <v>544</v>
      </c>
      <c r="I8" s="120" t="s">
        <v>1195</v>
      </c>
      <c r="J8" s="136"/>
    </row>
    <row r="9" spans="1:41" ht="50.15" customHeight="1">
      <c r="B9" s="99"/>
      <c r="C9" s="268" t="s">
        <v>383</v>
      </c>
      <c r="D9" s="90" t="s">
        <v>384</v>
      </c>
      <c r="E9" s="92" t="s">
        <v>388</v>
      </c>
    </row>
    <row r="10" spans="1:41"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La gestió de les cadenes de subministrament és essencial per supervisar les externalitats ambientals i socials generades per les activitats dels proveïdors. Dins de les cadenes de valor, poden sorgir problemes relacionats amb la responsabilitat ambiental, els drets humans, les condicions laborals, l'ètica i la corrupció, entre altres aspectes. La gestió de les cadenes de subministrament pot implicar l'avaluació, selecció, seguiment i compromís amb els proveïdors amb l'objectiu de reduir i mitigar els impactes mediambientals i socials.</v>
      </c>
    </row>
    <row r="11" spans="1:41" ht="150" customHeight="1">
      <c r="B11" s="98" t="s">
        <v>456</v>
      </c>
      <c r="C11" s="266"/>
      <c r="D11" s="120" t="s">
        <v>545</v>
      </c>
      <c r="E11" s="120" t="s">
        <v>546</v>
      </c>
    </row>
    <row r="12" spans="1:41" ht="80.150000000000006" customHeight="1">
      <c r="A12" s="74"/>
    </row>
    <row r="13" spans="1:41" ht="50.15" customHeight="1">
      <c r="A13" s="78"/>
      <c r="B13" s="250" t="s">
        <v>547</v>
      </c>
      <c r="C13" s="251"/>
      <c r="D13" s="251"/>
      <c r="E13" s="252"/>
      <c r="P13" s="24"/>
      <c r="R13"/>
    </row>
    <row r="14" spans="1:41" ht="50.15" customHeight="1">
      <c r="A14" s="78"/>
      <c r="B14" s="197" t="s">
        <v>464</v>
      </c>
      <c r="C14" s="197" t="s">
        <v>548</v>
      </c>
      <c r="D14" s="197" t="s">
        <v>423</v>
      </c>
      <c r="E14" s="197" t="s">
        <v>549</v>
      </c>
      <c r="O14" s="24"/>
      <c r="P14" s="24"/>
      <c r="Q14"/>
      <c r="R14"/>
    </row>
    <row r="15" spans="1:41" ht="150" customHeight="1">
      <c r="A15" s="78"/>
      <c r="B15" s="117" t="s">
        <v>550</v>
      </c>
      <c r="C15" s="118" t="s">
        <v>551</v>
      </c>
      <c r="D15" s="117" t="s">
        <v>552</v>
      </c>
      <c r="E15" s="111" t="s">
        <v>553</v>
      </c>
      <c r="O15" s="24"/>
      <c r="P15" s="24"/>
      <c r="Q15"/>
      <c r="R15"/>
    </row>
    <row r="16" spans="1:41" ht="150" customHeight="1">
      <c r="B16" s="117" t="s">
        <v>554</v>
      </c>
      <c r="C16" s="118" t="s">
        <v>551</v>
      </c>
      <c r="D16" s="117" t="s">
        <v>555</v>
      </c>
      <c r="E16" s="112" t="s">
        <v>556</v>
      </c>
      <c r="Q16"/>
      <c r="R16"/>
    </row>
    <row r="17" spans="1:18" ht="75" customHeight="1">
      <c r="B17" s="248" t="s">
        <v>1345</v>
      </c>
      <c r="C17" s="256" t="s">
        <v>551</v>
      </c>
      <c r="D17" s="248" t="s">
        <v>557</v>
      </c>
      <c r="E17" s="111" t="s">
        <v>558</v>
      </c>
      <c r="Q17"/>
      <c r="R17"/>
    </row>
    <row r="18" spans="1:18" ht="75" customHeight="1">
      <c r="B18" s="248"/>
      <c r="C18" s="258"/>
      <c r="D18" s="248"/>
      <c r="E18" s="112" t="s">
        <v>559</v>
      </c>
      <c r="Q18"/>
      <c r="R18"/>
    </row>
    <row r="19" spans="1:18" ht="60" customHeight="1">
      <c r="B19" s="253" t="s">
        <v>560</v>
      </c>
      <c r="C19" s="256" t="s">
        <v>551</v>
      </c>
      <c r="D19" s="253" t="s">
        <v>861</v>
      </c>
      <c r="E19" s="112" t="s">
        <v>561</v>
      </c>
      <c r="Q19"/>
      <c r="R19"/>
    </row>
    <row r="20" spans="1:18" ht="60" customHeight="1">
      <c r="B20" s="254"/>
      <c r="C20" s="257"/>
      <c r="D20" s="254"/>
      <c r="E20" s="112" t="s">
        <v>562</v>
      </c>
      <c r="Q20"/>
      <c r="R20"/>
    </row>
    <row r="21" spans="1:18" ht="60" customHeight="1">
      <c r="B21" s="255"/>
      <c r="C21" s="258"/>
      <c r="D21" s="255"/>
      <c r="E21" s="112" t="s">
        <v>563</v>
      </c>
      <c r="Q21"/>
      <c r="R21"/>
    </row>
    <row r="22" spans="1:18" ht="150" customHeight="1">
      <c r="B22" s="117" t="s">
        <v>1346</v>
      </c>
      <c r="C22" s="118" t="s">
        <v>551</v>
      </c>
      <c r="D22" s="103" t="s">
        <v>1038</v>
      </c>
      <c r="E22" s="174" t="s">
        <v>566</v>
      </c>
      <c r="Q22"/>
      <c r="R22"/>
    </row>
    <row r="23" spans="1:18" ht="150" customHeight="1">
      <c r="A23" s="78"/>
      <c r="B23" s="117" t="s">
        <v>567</v>
      </c>
      <c r="C23" s="118" t="s">
        <v>551</v>
      </c>
      <c r="D23" s="117" t="s">
        <v>568</v>
      </c>
      <c r="E23" s="112" t="s">
        <v>569</v>
      </c>
      <c r="Q23"/>
      <c r="R23"/>
    </row>
    <row r="24" spans="1:18" ht="150" customHeight="1">
      <c r="A24" s="78"/>
      <c r="B24" s="117" t="s">
        <v>570</v>
      </c>
      <c r="C24" s="118" t="s">
        <v>551</v>
      </c>
      <c r="D24" s="117" t="s">
        <v>862</v>
      </c>
      <c r="E24" s="174" t="s">
        <v>571</v>
      </c>
      <c r="F24" s="86"/>
      <c r="G24" s="86"/>
      <c r="H24" s="86"/>
      <c r="I24" s="86"/>
      <c r="J24" s="86"/>
      <c r="K24" s="83"/>
      <c r="L24" s="86"/>
      <c r="M24" s="83"/>
      <c r="Q24"/>
      <c r="R24"/>
    </row>
    <row r="25" spans="1:18" ht="150" customHeight="1">
      <c r="A25" s="80"/>
      <c r="B25" s="117" t="s">
        <v>572</v>
      </c>
      <c r="C25" s="119" t="s">
        <v>573</v>
      </c>
      <c r="D25" s="117" t="s">
        <v>707</v>
      </c>
      <c r="E25" s="111" t="s">
        <v>574</v>
      </c>
      <c r="F25" s="140"/>
      <c r="G25" s="140"/>
      <c r="H25" s="140"/>
      <c r="Q25"/>
      <c r="R25"/>
    </row>
    <row r="26" spans="1:18" ht="54.5" customHeight="1">
      <c r="A26" s="80"/>
      <c r="B26" s="253" t="s">
        <v>795</v>
      </c>
      <c r="C26" s="263" t="s">
        <v>551</v>
      </c>
      <c r="D26" s="253" t="s">
        <v>1308</v>
      </c>
      <c r="E26" s="223" t="s">
        <v>1307</v>
      </c>
      <c r="F26" s="140"/>
      <c r="G26" s="140"/>
      <c r="H26" s="140"/>
      <c r="Q26"/>
      <c r="R26"/>
    </row>
    <row r="27" spans="1:18" ht="54.5" customHeight="1">
      <c r="A27" s="80"/>
      <c r="B27" s="254"/>
      <c r="C27" s="264"/>
      <c r="D27" s="254"/>
      <c r="E27" s="223" t="s">
        <v>1306</v>
      </c>
      <c r="F27" s="140"/>
      <c r="G27" s="140"/>
      <c r="H27" s="140"/>
      <c r="Q27"/>
      <c r="R27"/>
    </row>
    <row r="28" spans="1:18" ht="54.5" customHeight="1">
      <c r="A28" s="80"/>
      <c r="B28" s="255"/>
      <c r="C28" s="265"/>
      <c r="D28" s="255"/>
      <c r="E28" s="112" t="s">
        <v>1325</v>
      </c>
      <c r="F28" s="140"/>
      <c r="G28" s="140"/>
      <c r="H28" s="140"/>
      <c r="Q28"/>
      <c r="R28"/>
    </row>
    <row r="29" spans="1:18" ht="125" customHeight="1">
      <c r="B29" s="248" t="s">
        <v>1331</v>
      </c>
      <c r="C29" s="273" t="s">
        <v>551</v>
      </c>
      <c r="D29" s="253" t="s">
        <v>1340</v>
      </c>
      <c r="E29" s="174" t="s">
        <v>575</v>
      </c>
      <c r="F29" s="136"/>
      <c r="G29" s="136"/>
      <c r="H29" s="136"/>
      <c r="Q29"/>
      <c r="R29"/>
    </row>
    <row r="30" spans="1:18" ht="125" customHeight="1">
      <c r="B30" s="249"/>
      <c r="C30" s="273"/>
      <c r="D30" s="255"/>
      <c r="E30" s="174" t="s">
        <v>1326</v>
      </c>
      <c r="F30" s="73"/>
      <c r="G30" s="73"/>
      <c r="Q30"/>
      <c r="R30"/>
    </row>
    <row r="31" spans="1:18" ht="50" customHeight="1">
      <c r="B31" s="248" t="s">
        <v>1347</v>
      </c>
      <c r="C31" s="273" t="s">
        <v>551</v>
      </c>
      <c r="D31" s="248" t="s">
        <v>1348</v>
      </c>
      <c r="E31" s="112" t="s">
        <v>577</v>
      </c>
      <c r="F31" s="136"/>
      <c r="G31" s="136"/>
      <c r="Q31"/>
      <c r="R31"/>
    </row>
    <row r="32" spans="1:18" ht="50" customHeight="1">
      <c r="B32" s="248"/>
      <c r="C32" s="273"/>
      <c r="D32" s="248"/>
      <c r="E32" s="112" t="s">
        <v>578</v>
      </c>
      <c r="Q32"/>
      <c r="R32"/>
    </row>
    <row r="33" spans="1:18" ht="50" customHeight="1">
      <c r="B33" s="248"/>
      <c r="C33" s="273"/>
      <c r="D33" s="248"/>
      <c r="E33" s="112" t="s">
        <v>579</v>
      </c>
      <c r="Q33"/>
      <c r="R33"/>
    </row>
    <row r="34" spans="1:18" ht="150" customHeight="1">
      <c r="A34" s="74"/>
      <c r="B34" s="150" t="s">
        <v>1315</v>
      </c>
      <c r="C34" s="161" t="s">
        <v>1350</v>
      </c>
      <c r="D34" s="150" t="s">
        <v>1349</v>
      </c>
      <c r="E34" s="174" t="s">
        <v>580</v>
      </c>
      <c r="Q34"/>
      <c r="R34"/>
    </row>
    <row r="35" spans="1:18" ht="75" customHeight="1">
      <c r="B35" s="261" t="s">
        <v>1212</v>
      </c>
      <c r="C35" s="259" t="s">
        <v>551</v>
      </c>
      <c r="D35" s="261" t="s">
        <v>1209</v>
      </c>
      <c r="E35" s="112" t="s">
        <v>581</v>
      </c>
      <c r="Q35"/>
      <c r="R35"/>
    </row>
    <row r="36" spans="1:18" ht="75" customHeight="1">
      <c r="B36" s="262"/>
      <c r="C36" s="260"/>
      <c r="D36" s="262"/>
      <c r="E36" s="112" t="s">
        <v>582</v>
      </c>
      <c r="Q36"/>
      <c r="R36"/>
    </row>
    <row r="37" spans="1:18" ht="92.5" customHeight="1">
      <c r="B37" s="248" t="s">
        <v>1351</v>
      </c>
      <c r="C37" s="259" t="s">
        <v>551</v>
      </c>
      <c r="D37" s="248" t="s">
        <v>1352</v>
      </c>
      <c r="E37" s="174" t="s">
        <v>1297</v>
      </c>
      <c r="Q37"/>
      <c r="R37"/>
    </row>
    <row r="38" spans="1:18" ht="82.5" customHeight="1">
      <c r="B38" s="248"/>
      <c r="C38" s="260"/>
      <c r="D38" s="248"/>
      <c r="E38" s="174" t="s">
        <v>580</v>
      </c>
      <c r="Q38"/>
      <c r="R38"/>
    </row>
    <row r="39" spans="1:18" ht="150" customHeight="1">
      <c r="A39" s="76"/>
      <c r="B39" s="150" t="s">
        <v>1183</v>
      </c>
      <c r="C39" s="161" t="s">
        <v>551</v>
      </c>
      <c r="D39" s="150" t="s">
        <v>1227</v>
      </c>
      <c r="E39" s="220" t="s">
        <v>584</v>
      </c>
      <c r="Q39"/>
      <c r="R39"/>
    </row>
    <row r="40" spans="1:18" ht="150" customHeight="1">
      <c r="A40" s="76"/>
      <c r="B40" s="150" t="s">
        <v>585</v>
      </c>
      <c r="C40" s="161" t="s">
        <v>551</v>
      </c>
      <c r="D40" s="150" t="s">
        <v>1229</v>
      </c>
      <c r="E40" s="216" t="s">
        <v>586</v>
      </c>
      <c r="Q40"/>
      <c r="R40"/>
    </row>
    <row r="41" spans="1:18">
      <c r="A41" s="76"/>
      <c r="Q41"/>
      <c r="R41"/>
    </row>
    <row r="42" spans="1:18" ht="13" customHeight="1">
      <c r="A42" s="73"/>
      <c r="Q42"/>
      <c r="R42"/>
    </row>
    <row r="43" spans="1:18" ht="50.15" customHeight="1">
      <c r="A43" s="73"/>
      <c r="B43" s="250" t="s">
        <v>589</v>
      </c>
      <c r="C43" s="251"/>
      <c r="D43" s="251"/>
      <c r="E43" s="252"/>
      <c r="Q43"/>
      <c r="R43"/>
    </row>
    <row r="44" spans="1:18" ht="50.15" customHeight="1">
      <c r="A44" s="77"/>
      <c r="B44" s="197" t="s">
        <v>464</v>
      </c>
      <c r="C44" s="197" t="s">
        <v>548</v>
      </c>
      <c r="D44" s="197" t="s">
        <v>423</v>
      </c>
      <c r="E44" s="197" t="s">
        <v>549</v>
      </c>
      <c r="Q44"/>
      <c r="R44"/>
    </row>
    <row r="45" spans="1:18" ht="171.75" customHeight="1">
      <c r="A45" s="76"/>
      <c r="B45" s="117" t="s">
        <v>1353</v>
      </c>
      <c r="C45" s="118" t="s">
        <v>590</v>
      </c>
      <c r="D45" s="117" t="s">
        <v>591</v>
      </c>
      <c r="E45" s="112" t="s">
        <v>592</v>
      </c>
      <c r="Q45"/>
      <c r="R45"/>
    </row>
    <row r="46" spans="1:18" ht="90" customHeight="1">
      <c r="A46" s="76"/>
      <c r="B46" s="248" t="s">
        <v>593</v>
      </c>
      <c r="C46" s="248" t="s">
        <v>1355</v>
      </c>
      <c r="D46" s="248" t="s">
        <v>1354</v>
      </c>
      <c r="E46" s="112" t="s">
        <v>594</v>
      </c>
      <c r="Q46"/>
      <c r="R46"/>
    </row>
    <row r="47" spans="1:18" ht="90" customHeight="1">
      <c r="A47" s="70"/>
      <c r="B47" s="249"/>
      <c r="C47" s="249"/>
      <c r="D47" s="249"/>
      <c r="E47" s="112" t="s">
        <v>595</v>
      </c>
      <c r="Q47"/>
      <c r="R47"/>
    </row>
    <row r="48" spans="1:18" ht="150" customHeight="1">
      <c r="B48" s="117" t="s">
        <v>596</v>
      </c>
      <c r="C48" s="119" t="s">
        <v>1356</v>
      </c>
      <c r="D48" s="117" t="s">
        <v>597</v>
      </c>
      <c r="E48" s="112" t="s">
        <v>598</v>
      </c>
      <c r="Q48"/>
      <c r="R48"/>
    </row>
    <row r="49" spans="2:18" ht="150" customHeight="1">
      <c r="B49" s="117" t="s">
        <v>1357</v>
      </c>
      <c r="C49" s="119" t="s">
        <v>1358</v>
      </c>
      <c r="D49" s="117" t="s">
        <v>1359</v>
      </c>
      <c r="E49" s="112" t="s">
        <v>599</v>
      </c>
      <c r="Q49"/>
      <c r="R49"/>
    </row>
    <row r="50" spans="2:18" ht="150" customHeight="1">
      <c r="B50" s="117" t="s">
        <v>1360</v>
      </c>
      <c r="C50" s="119" t="s">
        <v>1361</v>
      </c>
      <c r="D50" s="117" t="s">
        <v>1362</v>
      </c>
      <c r="E50" s="112" t="s">
        <v>600</v>
      </c>
      <c r="Q50"/>
      <c r="R50"/>
    </row>
    <row r="51" spans="2:18" ht="150" customHeight="1">
      <c r="B51" s="117" t="s">
        <v>1363</v>
      </c>
      <c r="C51" s="118" t="s">
        <v>551</v>
      </c>
      <c r="D51" s="117" t="s">
        <v>1364</v>
      </c>
      <c r="E51" s="112" t="s">
        <v>601</v>
      </c>
      <c r="Q51"/>
      <c r="R51"/>
    </row>
    <row r="52" spans="2:18" ht="50" customHeight="1">
      <c r="B52" s="248" t="s">
        <v>1366</v>
      </c>
      <c r="C52" s="256" t="s">
        <v>551</v>
      </c>
      <c r="D52" s="248" t="s">
        <v>1365</v>
      </c>
      <c r="E52" s="112" t="s">
        <v>602</v>
      </c>
      <c r="P52" s="24"/>
      <c r="R52"/>
    </row>
    <row r="53" spans="2:18" ht="50" customHeight="1">
      <c r="B53" s="249"/>
      <c r="C53" s="271"/>
      <c r="D53" s="249"/>
      <c r="E53" s="112" t="s">
        <v>603</v>
      </c>
      <c r="P53" s="24"/>
      <c r="R53"/>
    </row>
    <row r="54" spans="2:18" ht="50" customHeight="1">
      <c r="B54" s="249"/>
      <c r="C54" s="271"/>
      <c r="D54" s="249"/>
      <c r="E54" s="112" t="s">
        <v>604</v>
      </c>
      <c r="P54" s="24"/>
      <c r="R54"/>
    </row>
    <row r="55" spans="2:18" ht="50" customHeight="1">
      <c r="B55" s="249"/>
      <c r="C55" s="271"/>
      <c r="D55" s="249"/>
      <c r="E55" s="112" t="s">
        <v>605</v>
      </c>
      <c r="P55" s="24"/>
      <c r="R55"/>
    </row>
    <row r="56" spans="2:18" ht="50" customHeight="1">
      <c r="B56" s="249"/>
      <c r="C56" s="272"/>
      <c r="D56" s="249"/>
      <c r="E56" s="112" t="s">
        <v>606</v>
      </c>
      <c r="P56" s="24"/>
      <c r="R56"/>
    </row>
    <row r="57" spans="2:18" ht="50" customHeight="1">
      <c r="B57" s="253" t="s">
        <v>1367</v>
      </c>
      <c r="C57" s="256" t="s">
        <v>551</v>
      </c>
      <c r="D57" s="248" t="s">
        <v>1368</v>
      </c>
      <c r="E57" s="112" t="s">
        <v>607</v>
      </c>
      <c r="P57" s="24"/>
      <c r="R57"/>
    </row>
    <row r="58" spans="2:18" ht="50" customHeight="1">
      <c r="B58" s="269"/>
      <c r="C58" s="271"/>
      <c r="D58" s="249"/>
      <c r="E58" s="112" t="s">
        <v>608</v>
      </c>
      <c r="P58" s="24"/>
      <c r="R58"/>
    </row>
    <row r="59" spans="2:18" ht="50" customHeight="1">
      <c r="B59" s="270"/>
      <c r="C59" s="272"/>
      <c r="D59" s="249"/>
      <c r="E59" s="112" t="s">
        <v>609</v>
      </c>
      <c r="P59" s="24"/>
      <c r="R59"/>
    </row>
    <row r="60" spans="2:18" ht="150" customHeight="1">
      <c r="B60" s="217" t="s">
        <v>610</v>
      </c>
      <c r="C60" s="218" t="s">
        <v>551</v>
      </c>
      <c r="D60" s="217" t="s">
        <v>611</v>
      </c>
      <c r="E60" s="216" t="s">
        <v>612</v>
      </c>
      <c r="P60" s="24"/>
      <c r="R60"/>
    </row>
    <row r="61" spans="2:18" ht="150" customHeight="1">
      <c r="B61" s="150" t="s">
        <v>613</v>
      </c>
      <c r="C61" s="161" t="s">
        <v>551</v>
      </c>
      <c r="D61" s="150" t="s">
        <v>1230</v>
      </c>
      <c r="E61" s="220" t="s">
        <v>614</v>
      </c>
    </row>
    <row r="62" spans="2:18" ht="150" customHeight="1">
      <c r="B62" s="150" t="s">
        <v>615</v>
      </c>
      <c r="C62" s="161" t="s">
        <v>551</v>
      </c>
      <c r="D62" s="222" t="s">
        <v>1231</v>
      </c>
      <c r="E62" s="216" t="s">
        <v>616</v>
      </c>
    </row>
    <row r="63" spans="2:18" ht="150" customHeight="1">
      <c r="B63" s="150" t="s">
        <v>1226</v>
      </c>
      <c r="C63" s="161" t="s">
        <v>551</v>
      </c>
      <c r="D63" s="150" t="s">
        <v>1232</v>
      </c>
      <c r="E63" s="216" t="s">
        <v>617</v>
      </c>
    </row>
    <row r="64" spans="2:18" ht="150" customHeight="1">
      <c r="B64" s="150" t="s">
        <v>618</v>
      </c>
      <c r="C64" s="161" t="s">
        <v>551</v>
      </c>
      <c r="D64" s="150" t="s">
        <v>1233</v>
      </c>
      <c r="E64" s="216" t="s">
        <v>619</v>
      </c>
    </row>
  </sheetData>
  <mergeCells count="35">
    <mergeCell ref="B57:B59"/>
    <mergeCell ref="C57:C59"/>
    <mergeCell ref="C29:C30"/>
    <mergeCell ref="B31:B33"/>
    <mergeCell ref="C31:C33"/>
    <mergeCell ref="B37:B38"/>
    <mergeCell ref="C37:C38"/>
    <mergeCell ref="B52:B56"/>
    <mergeCell ref="B35:B36"/>
    <mergeCell ref="B43:E43"/>
    <mergeCell ref="C46:C47"/>
    <mergeCell ref="D37:D38"/>
    <mergeCell ref="D46:D47"/>
    <mergeCell ref="D52:D56"/>
    <mergeCell ref="D57:D59"/>
    <mergeCell ref="C52:C56"/>
    <mergeCell ref="C4:C5"/>
    <mergeCell ref="C6:C8"/>
    <mergeCell ref="C9:C11"/>
    <mergeCell ref="B17:B18"/>
    <mergeCell ref="C17:C18"/>
    <mergeCell ref="D17:D18"/>
    <mergeCell ref="B29:B30"/>
    <mergeCell ref="B13:E13"/>
    <mergeCell ref="B46:B47"/>
    <mergeCell ref="B19:B21"/>
    <mergeCell ref="C19:C21"/>
    <mergeCell ref="C35:C36"/>
    <mergeCell ref="D35:D36"/>
    <mergeCell ref="D31:D33"/>
    <mergeCell ref="D29:D30"/>
    <mergeCell ref="B26:B28"/>
    <mergeCell ref="C26:C28"/>
    <mergeCell ref="D26:D28"/>
    <mergeCell ref="D19:D21"/>
  </mergeCells>
  <conditionalFormatting sqref="A39:A43">
    <cfRule type="containsText" dxfId="834" priority="6" operator="containsText" text="No Aplica">
      <formula>NOT(ISERROR(SEARCH("No Aplica",A39)))</formula>
    </cfRule>
    <cfRule type="containsText" dxfId="833" priority="7" operator="containsText" text="Seleccionar">
      <formula>NOT(ISERROR(SEARCH("Seleccionar",A39)))</formula>
    </cfRule>
    <cfRule type="containsText" dxfId="832" priority="8" operator="containsText" text="Parcialmente Cumple">
      <formula>NOT(ISERROR(SEARCH("Parcialmente Cumple",A39)))</formula>
    </cfRule>
    <cfRule type="containsText" dxfId="831" priority="9" operator="containsText" text="No Cumple">
      <formula>NOT(ISERROR(SEARCH("No Cumple",A39)))</formula>
    </cfRule>
    <cfRule type="beginsWith" dxfId="830" priority="10" operator="beginsWith" text="Cumple">
      <formula>LEFT(A39,LEN("Cumple"))="Cumple"</formula>
    </cfRule>
  </conditionalFormatting>
  <conditionalFormatting sqref="C1:C12 D29 D31:D35">
    <cfRule type="containsText" dxfId="829" priority="21" operator="containsText" text="No Aplica">
      <formula>NOT(ISERROR(SEARCH("No Aplica",C1)))</formula>
    </cfRule>
    <cfRule type="containsText" dxfId="828" priority="22" operator="containsText" text="Pendiente">
      <formula>NOT(ISERROR(SEARCH("Pendiente",C1)))</formula>
    </cfRule>
    <cfRule type="containsText" dxfId="827" priority="23" operator="containsText" text="Parcialmente Cumple">
      <formula>NOT(ISERROR(SEARCH("Parcialmente Cumple",C1)))</formula>
    </cfRule>
    <cfRule type="containsText" dxfId="826" priority="24" operator="containsText" text="No Cumple">
      <formula>NOT(ISERROR(SEARCH("No Cumple",C1)))</formula>
    </cfRule>
    <cfRule type="beginsWith" dxfId="825" priority="25" operator="beginsWith" text="Cumple">
      <formula>LEFT(C1,LEN("Cumple"))="Cumple"</formula>
    </cfRule>
  </conditionalFormatting>
  <conditionalFormatting sqref="C45">
    <cfRule type="containsText" dxfId="824" priority="181" operator="containsText" text="No Aplica">
      <formula>NOT(ISERROR(SEARCH("No Aplica",C45)))</formula>
    </cfRule>
    <cfRule type="containsText" dxfId="823" priority="182" operator="containsText" text="Seleccionar">
      <formula>NOT(ISERROR(SEARCH("Seleccionar",C45)))</formula>
    </cfRule>
    <cfRule type="containsText" dxfId="822" priority="183" operator="containsText" text="Parcialmente Cumple">
      <formula>NOT(ISERROR(SEARCH("Parcialmente Cumple",C45)))</formula>
    </cfRule>
    <cfRule type="containsText" dxfId="821" priority="184" operator="containsText" text="No Cumple">
      <formula>NOT(ISERROR(SEARCH("No Cumple",C45)))</formula>
    </cfRule>
    <cfRule type="beginsWith" dxfId="820" priority="185" operator="beginsWith" text="Cumple">
      <formula>LEFT(C45,LEN("Cumple"))="Cumple"</formula>
    </cfRule>
  </conditionalFormatting>
  <conditionalFormatting sqref="D14:D19 D22:D26 D37:D38 C41:C42 C45:C55 C57 C65:C116">
    <cfRule type="containsText" dxfId="819" priority="41" operator="containsText" text="No Aplica">
      <formula>NOT(ISERROR(SEARCH("No Aplica",C14)))</formula>
    </cfRule>
    <cfRule type="containsText" dxfId="818" priority="42" operator="containsText" text="Pendiente">
      <formula>NOT(ISERROR(SEARCH("Pendiente",C14)))</formula>
    </cfRule>
    <cfRule type="containsText" dxfId="817" priority="43" operator="containsText" text="Parcialmente Cumple">
      <formula>NOT(ISERROR(SEARCH("Parcialmente Cumple",C14)))</formula>
    </cfRule>
    <cfRule type="containsText" dxfId="816" priority="44" operator="containsText" text="No Cumple">
      <formula>NOT(ISERROR(SEARCH("No Cumple",C14)))</formula>
    </cfRule>
    <cfRule type="beginsWith" dxfId="815" priority="45" operator="beginsWith" text="Cumple">
      <formula>LEFT(C14,LEN("Cumple"))="Cumple"</formula>
    </cfRule>
  </conditionalFormatting>
  <conditionalFormatting sqref="D44:D59">
    <cfRule type="containsText" dxfId="814" priority="11" operator="containsText" text="No Aplica">
      <formula>NOT(ISERROR(SEARCH("No Aplica",D44)))</formula>
    </cfRule>
    <cfRule type="containsText" dxfId="813" priority="12" operator="containsText" text="Pendiente">
      <formula>NOT(ISERROR(SEARCH("Pendiente",D44)))</formula>
    </cfRule>
    <cfRule type="containsText" dxfId="812" priority="13" operator="containsText" text="Parcialmente Cumple">
      <formula>NOT(ISERROR(SEARCH("Parcialmente Cumple",D44)))</formula>
    </cfRule>
    <cfRule type="containsText" dxfId="811" priority="14" operator="containsText" text="No Cumple">
      <formula>NOT(ISERROR(SEARCH("No Cumple",D44)))</formula>
    </cfRule>
    <cfRule type="beginsWith" dxfId="810" priority="15" operator="beginsWith" text="Cumple">
      <formula>LEFT(D44,LEN("Cumple"))="Cumple"</formula>
    </cfRule>
  </conditionalFormatting>
  <conditionalFormatting sqref="E14">
    <cfRule type="containsText" dxfId="809" priority="176" operator="containsText" text="No Aplica">
      <formula>NOT(ISERROR(SEARCH("No Aplica",E14)))</formula>
    </cfRule>
    <cfRule type="containsText" dxfId="808" priority="177" operator="containsText" text="Seleccionar">
      <formula>NOT(ISERROR(SEARCH("Seleccionar",E14)))</formula>
    </cfRule>
    <cfRule type="containsText" dxfId="807" priority="178" operator="containsText" text="Parcialmente Cumple">
      <formula>NOT(ISERROR(SEARCH("Parcialmente Cumple",E14)))</formula>
    </cfRule>
    <cfRule type="containsText" dxfId="806" priority="179" operator="containsText" text="No Cumple">
      <formula>NOT(ISERROR(SEARCH("No Cumple",E14)))</formula>
    </cfRule>
    <cfRule type="beginsWith" dxfId="805" priority="180" operator="beginsWith" text="Cumple">
      <formula>LEFT(E14,LEN("Cumple"))="Cumple"</formula>
    </cfRule>
  </conditionalFormatting>
  <conditionalFormatting sqref="E44:E45">
    <cfRule type="containsText" dxfId="804" priority="16" operator="containsText" text="No Aplica">
      <formula>NOT(ISERROR(SEARCH("No Aplica",E44)))</formula>
    </cfRule>
    <cfRule type="containsText" dxfId="803" priority="17" operator="containsText" text="Seleccionar">
      <formula>NOT(ISERROR(SEARCH("Seleccionar",E44)))</formula>
    </cfRule>
    <cfRule type="containsText" dxfId="802" priority="18" operator="containsText" text="Parcialmente Cumple">
      <formula>NOT(ISERROR(SEARCH("Parcialmente Cumple",E44)))</formula>
    </cfRule>
    <cfRule type="containsText" dxfId="801" priority="19" operator="containsText" text="No Cumple">
      <formula>NOT(ISERROR(SEARCH("No Cumple",E44)))</formula>
    </cfRule>
    <cfRule type="beginsWith" dxfId="800" priority="20" operator="beginsWith" text="Cumple">
      <formula>LEFT(E44,LEN("Cumple"))="Cumple"</formula>
    </cfRule>
  </conditionalFormatting>
  <conditionalFormatting sqref="E60">
    <cfRule type="containsText" dxfId="799" priority="1" operator="containsText" text="No Aplica">
      <formula>NOT(ISERROR(SEARCH("No Aplica",E60)))</formula>
    </cfRule>
    <cfRule type="containsText" dxfId="798" priority="2" operator="containsText" text="Seleccionar">
      <formula>NOT(ISERROR(SEARCH("Seleccionar",E60)))</formula>
    </cfRule>
    <cfRule type="containsText" dxfId="797" priority="3" operator="containsText" text="Parcialmente Cumple">
      <formula>NOT(ISERROR(SEARCH("Parcialmente Cumple",E60)))</formula>
    </cfRule>
    <cfRule type="containsText" dxfId="796" priority="4" operator="containsText" text="No Cumple">
      <formula>NOT(ISERROR(SEARCH("No Cumple",E60)))</formula>
    </cfRule>
    <cfRule type="beginsWith" dxfId="795" priority="5" operator="beginsWith" text="Cumple">
      <formula>LEFT(E60,LEN("Cumple"))="Cumple"</formula>
    </cfRule>
  </conditionalFormatting>
  <hyperlinks>
    <hyperlink ref="E31" r:id="rId1" display="Consulta información sobre el Sustainable Packiging Coalition"/>
    <hyperlink ref="E32" r:id="rId2" display="Consulta información sobre la ley de plásticos de un solo uso"/>
    <hyperlink ref="E33" r:id="rId3" display="Consulta información sobre impuestos sobre los envases de plástico no reutilizables"/>
    <hyperlink ref="E15" r:id="rId4" display="Consulta més informació sobre el codi de conducta"/>
    <hyperlink ref="E16" r:id="rId5" display="Consulta información sobre ISO 9001"/>
    <hyperlink ref="E17" r:id="rId6" display="Consulta informació sobre EMAS"/>
    <hyperlink ref="E25" r:id="rId7" display="Consulta el Real Decreto 901/2020"/>
    <hyperlink ref="E18" r:id="rId8" display="Consulta información sobre ISO 14001"/>
    <hyperlink ref="E46" r:id="rId9" display="Consultar el marco RFA - Supply Chain Requirements"/>
    <hyperlink ref="E47" r:id="rId10" display="Consultar el marco RFA - Requisitos para agricultores"/>
    <hyperlink ref="E50" r:id="rId11" display="Consultar los RSPO Principios y criteria"/>
    <hyperlink ref="E48" r:id="rId12" display="Consultar información sobre la certificación Fairtrade "/>
    <hyperlink ref="E49" r:id="rId13" display="Consultar información sobre el SAI-FSA"/>
    <hyperlink ref="E45" r:id="rId14" display="Consulta la estrategia Farm to Fork"/>
    <hyperlink ref="E52" r:id="rId15" display="Consultar la propuesta UE para metas de reducción de desperdicio de alimentos"/>
    <hyperlink ref="E56" r:id="rId16" display="Consultar información del International Food Waste Coalition"/>
    <hyperlink ref="E51" r:id="rId17" display="Consultar información sobre la agricultura regenerativa"/>
    <hyperlink ref="E29" r:id="rId18" display="Consulta Ley 7/2022"/>
    <hyperlink ref="E30" r:id="rId19" display="https://residus.gencat.cat/ca/consultes_i_tramits_-_nou/normativa/"/>
    <hyperlink ref="E23" r:id="rId20" display="https://act.gencat.cat/wp-content/uploads/2019/05/CAT-ACT-POL%C3%8DTICA-DE-PRIVACITAT.pdf"/>
    <hyperlink ref="E35" r:id="rId21" display="Consulta información sobre la iniciativa Lean and Green"/>
    <hyperlink ref="E34" r:id="rId22" display="Consulta información sobre los Ecoetiquetas de la UE."/>
    <hyperlink ref="E38" r:id="rId23" display="Consulta información sobre las ecoetiquetas de la UE"/>
    <hyperlink ref="E37" r:id="rId24" display="Consulta ISO 20400:2017 sobre adquisición sostenible"/>
    <hyperlink ref="E57" r:id="rId25" display="Consultar el documento BREF sobre las mejores tecnologías de Alimentos, bebidas y leche"/>
    <hyperlink ref="E58" r:id="rId26" display="Consultar el documento BREF sobre las mejores tecnologías de la preparación de aves de corral y cerdos"/>
    <hyperlink ref="E59" r:id="rId27" display="Consultar el documento BREF sobre las mejores tecnologías de mataderos"/>
    <hyperlink ref="E22" r:id="rId28" display="Consulta el Documento de Referencia sobre las mejores tecnologías disponibles en términos de eficiencia energética"/>
    <hyperlink ref="E19" r:id="rId29" display="Consulta más información sobre el CSRD"/>
    <hyperlink ref="E20" r:id="rId30" display="Consulta ley 11/2018"/>
    <hyperlink ref="E21" r:id="rId31" display="Consulta más información sobre el marco GRI"/>
    <hyperlink ref="E24" r:id="rId32" display="https://www.pactomundial.org/wp-content/uploads/2021/10/Codigo_conducta_proveedores.pdf"/>
    <hyperlink ref="E53" r:id="rId33" display="Consulta la LlEI 3/2020, de l'11 de març, de prevenció de les pèrdues i el malbaratament alimentaris"/>
    <hyperlink ref="E54" r:id="rId34" display="Consulta la Guia per a la integració de la prevenció de les pèrdues i malbaratament alimentaris als sistemes de gestió ambiental"/>
    <hyperlink ref="E55" r:id="rId35" display="Guia per a la implantació d'un pla de prevenció i reducció de les pèrdues i el malbaratament alimentari a les empreses agroalimentàries"/>
    <hyperlink ref="E39" r:id="rId36"/>
    <hyperlink ref="E40" r:id="rId37" display="https://govern.cat/gov/pla-govern?eix=0&amp;ambit=1"/>
    <hyperlink ref="E61" r:id="rId38"/>
    <hyperlink ref="E63" r:id="rId39"/>
    <hyperlink ref="E64" r:id="rId40"/>
    <hyperlink ref="E62" r:id="rId41"/>
    <hyperlink ref="E36" r:id="rId42" display="https://canviclimatic.gencat.cat/ca/oficina/index.html"/>
    <hyperlink ref="E60" r:id="rId43"/>
    <hyperlink ref="E26" r:id="rId44"/>
    <hyperlink ref="E27" r:id="rId45"/>
    <hyperlink ref="E28" r:id="rId46"/>
  </hyperlinks>
  <pageMargins left="0.7" right="0.7" top="0.75" bottom="0.75" header="0.3" footer="0.3"/>
  <pageSetup paperSize="9" orientation="portrait" r:id="rId4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theme="9" tint="0.39997558519241921"/>
  </sheetPr>
  <dimension ref="A1:AN55"/>
  <sheetViews>
    <sheetView showGridLines="0" zoomScale="70" zoomScaleNormal="70" workbookViewId="0">
      <selection activeCell="D4" sqref="D4"/>
    </sheetView>
  </sheetViews>
  <sheetFormatPr defaultColWidth="11.453125" defaultRowHeight="12.5"/>
  <cols>
    <col min="1" max="1" width="15.453125" customWidth="1"/>
    <col min="2" max="2" width="36.453125" customWidth="1"/>
    <col min="3" max="3" width="18.81640625" customWidth="1"/>
    <col min="4" max="4" width="65.54296875" customWidth="1"/>
    <col min="5" max="5" width="66.54296875" customWidth="1"/>
    <col min="6" max="10" width="65.54296875" customWidth="1"/>
    <col min="11"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311" t="s">
        <v>1502</v>
      </c>
      <c r="E1" s="93" t="s">
        <v>620</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L2" s="83"/>
    </row>
    <row r="3" spans="1:40" ht="50.15" customHeight="1">
      <c r="A3" s="80"/>
      <c r="B3" s="79"/>
      <c r="C3" s="89"/>
      <c r="D3" s="107" t="s">
        <v>360</v>
      </c>
      <c r="E3" s="90" t="s">
        <v>365</v>
      </c>
      <c r="F3" s="106" t="s">
        <v>358</v>
      </c>
      <c r="G3" s="106" t="s">
        <v>366</v>
      </c>
      <c r="H3" s="90" t="s">
        <v>363</v>
      </c>
      <c r="I3" s="108" t="s">
        <v>357</v>
      </c>
      <c r="J3" s="109" t="s">
        <v>367</v>
      </c>
    </row>
    <row r="4" spans="1:40" ht="150" customHeight="1">
      <c r="B4" s="98" t="s">
        <v>423</v>
      </c>
      <c r="C4" s="266" t="s">
        <v>356</v>
      </c>
      <c r="D4" s="104" t="str">
        <f>HLOOKUP(D3,AUTO!$B$1:$AJ$2,2,FALSE)</f>
        <v xml:space="preserve">La gestió sostenible de l'aigua tracta d'assegurar que el consum i ús d'aquesta aigua per part de l'empresa estiguin alineats amb la capacitat de recuperar-se de l'ecosistema i no generin impactes negatius. Les necessitats de consumir aigua estan lligades al sector i a la ubicació de la planta. És important destacar que les empreses amb operacions en zones amb estrès hídric caldrà que avaluïn com fer una gestió sostenible dels recursos hídrics. Això inclou reduir el consum d'aigua, millorar la captura i reutilització de les aigües grises i millorar el tractament d'aigües residuals, entre d'altres. </v>
      </c>
      <c r="E4" s="95" t="str">
        <f>HLOOKUP(E3,AUTO!$B$1:$AJ$2,2,FALSE)</f>
        <v xml:space="preserve">El subministrament de matèries primeres és un tema crucial per a la sostenibilitat d'aquells sectors molt intensius en materials. Aquí les empreses haurien d'avaluar oportunitats per a una adquisició de matèries de manera sostenible amb proveïdors confiables i certificats i estratègies de recuperació de material que es pugui recuperar com a matèria primera. Aquest tema pot ser important tant per a empreses que adquireixen matèries primeres com per a empreses que adquireixen prefabricats o productes. Un exemple és la cadena de subministrament d'empreses alimentàries, on és obligatori poder demostrar que el producte utilitzat no prové de zones amb alta deforestació. </v>
      </c>
      <c r="F4" s="95" t="str">
        <f>HLOOKUP(F3,AUTO!$B$1:$AJ$2,2,FALSE)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G4" s="95" t="str">
        <f>HLOOKUP(G3,AUTO!$B$1:$AJ$2,2,FALSE)</f>
        <v>Les emissions de contaminants com el diòxid de sofre (SOx), el diòxid de nitrogen (NOx) i els Compostos Orgànics Volàtils (VOC), entre d'altres, poden tenir un impacte significatiu sobre la qualitat de l'aire. Una mala qualitat de l'aire pot tenir efectes negatius tant sobre el medi ambient com sobre la salut de les comunitats afectades. Per tant, les empreses que duen a terme operacions que produeixen emissions a l'aire han d'avaluar el seu impacte sobre la qualitat de l'aire mitjançant controls regulars duts a terme per l'autoritat ambiental competent. Les empreses podrien considerar la instal·lació de filtres i altres mesures destinades a reduir les emissions de contaminants atmosfèrics.</v>
      </c>
      <c r="H4" s="95" t="str">
        <f>HLOOKUP(H3,AUTO!$B$1:$AJ$2,2,FALSE)</f>
        <v>El disseny dels productes i els seus cicles de vida són molt importants per gestionar l'impacte mediambiental de l'empresa. L'ecodisseny pot facilitar la reparació i el manteniment del producte i millorar-ne la tria dels materials més adequats i la reuitilització. Un correcte ecodisseny assegura una reducció dels impactes en tot el cicle de vida del producte. Les empreses que tenen en compte els impactes durant tot el cicle de vida permeten reduir l'impacte total del producte o servei en l'ús de materials, disseny industrial, producció i gestió de residus. D'aquesta manera, les empreses s'adapten als esquemes de responsabilitat ampliada del productor o futures normatives enfocades a la circularitat de l'economia.</v>
      </c>
      <c r="I4" s="95" t="str">
        <f>HLOOKUP(I3,AUTO!$B$1:$AJ$2,2,FALSE)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J4" s="95" t="str">
        <f>HLOOKUP(J3,AUTO!$B$1:$AJ$2,2,FALSE)</f>
        <v>Garantir la seguretat química és de gran importància per preservar els ecosistemes i protegir les comunitats properes a instal·lacions que empren substàncies químiques perilloses. Les empreses que comercialitzen productes que contenen substàncies químiques perilloses susceptibles d'entrar en contacte amb l'entorn natural o els usuaris d'aquests productes és essencial que prenguin totes les mesures necessàries per prevenir aquesta situació. Millorar la seguretat química pot implicar la recerca d'alternatives de materials per a l'ús en els seus productes, dissenyar productes de manera segura per prevenir fuites de substàncies i elaborar un pla de gestió de residus al final del cicle de vida del producte.</v>
      </c>
    </row>
    <row r="5" spans="1:40" ht="150" customHeight="1">
      <c r="B5" s="98" t="s">
        <v>456</v>
      </c>
      <c r="C5" s="267"/>
      <c r="D5" s="120" t="s">
        <v>621</v>
      </c>
      <c r="E5" s="122" t="s">
        <v>622</v>
      </c>
      <c r="F5" s="120" t="s">
        <v>623</v>
      </c>
      <c r="G5" s="120" t="s">
        <v>624</v>
      </c>
      <c r="H5" s="120" t="s">
        <v>625</v>
      </c>
      <c r="I5" s="122" t="s">
        <v>626</v>
      </c>
      <c r="J5" s="120" t="s">
        <v>627</v>
      </c>
    </row>
    <row r="6" spans="1:40" ht="50.15" customHeight="1">
      <c r="B6" s="110"/>
      <c r="C6" s="268" t="s">
        <v>369</v>
      </c>
      <c r="D6" s="107" t="s">
        <v>420</v>
      </c>
      <c r="E6" s="108" t="s">
        <v>376</v>
      </c>
      <c r="F6" s="108" t="s">
        <v>417</v>
      </c>
      <c r="G6" s="241" t="s">
        <v>418</v>
      </c>
    </row>
    <row r="7" spans="1:40" ht="150" customHeight="1">
      <c r="B7" s="98" t="s">
        <v>423</v>
      </c>
      <c r="C7" s="266"/>
      <c r="D7" s="104" t="str">
        <f>HLOOKUP(D6,AUTO!$B$1:$AJ$2,2,FALSE)</f>
        <v>És crucial mantenir alts estàndards laborals i condicions de treball dignes per a tots els empleats en la cadena de valor. L'empresa s'ha d'assegurar que tots els seus proveïdors respectin els drets laborals i humans, la qual cosa inclou garantir una remuneració justa, horaris laborals adequats i la prohibició del treball forçós i el treball infantil. Per assegurar condicions laborals acceptables en tota la cadena de valor, l'empresa pot requerir el compliment d'un codi de conducta per part dels seus proveïdors i dur a terme auditories en alguns d'ells per verificar-ne el compliment.</v>
      </c>
      <c r="E7" s="95" t="str">
        <f>HLOOKUP(E6,AUTO!$B$1:$AJ$2,2,FALSE)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c r="F7" s="95" t="str">
        <f>HLOOKUP(F6,AUTO!$B$1:$AJ$2,2,FALSE)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G7" s="95" t="str">
        <f>HLOOKUP(G6,AUTO!$B$1:$AJ$2,2,FALSE)</f>
        <v>És essencial mantenir Bones Pràctiques en la venda i l'etiquetatge de productes per prevenir qualsevol pràctica enganyosa. Les pràctiques enganyoses poden portar els consumidors a triar un producte que no s'ajusti a les seves necessitats o requeriments. Per tant, per garantir Bones Pràctiques en la venda i l'etiquetatge, una empresa ha de gestionar la transparència de la informació relacionada amb els seus productes, operacions i cadenes de valor. A més, és fonamental proporcionar informació precisa i rellevant sobre els productes, sense ocultar desavantatges o altres tipus d'informació d'interès.</v>
      </c>
    </row>
    <row r="8" spans="1:40" ht="150" customHeight="1">
      <c r="B8" s="98" t="s">
        <v>456</v>
      </c>
      <c r="C8" s="267"/>
      <c r="D8" s="120" t="s">
        <v>628</v>
      </c>
      <c r="E8" s="122" t="s">
        <v>629</v>
      </c>
      <c r="F8" s="120" t="s">
        <v>1205</v>
      </c>
      <c r="G8" s="120" t="s">
        <v>630</v>
      </c>
    </row>
    <row r="9" spans="1:40" ht="50.15" customHeight="1">
      <c r="B9" s="99"/>
      <c r="C9" s="268" t="s">
        <v>383</v>
      </c>
      <c r="D9" s="106" t="s">
        <v>384</v>
      </c>
      <c r="E9" s="106" t="s">
        <v>388</v>
      </c>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La gestió de les cadenes de subministrament és essencial per supervisar les externalitats ambientals i socials generades per les activitats dels proveïdors. Dins de les cadenes de valor, poden sorgir problemes relacionats amb la responsabilitat ambiental, els drets humans, les condicions laborals, l'ètica i la corrupció, entre altres aspectes. La gestió de les cadenes de subministrament pot implicar l'avaluació, selecció, seguiment i compromís amb els proveïdors amb l'objectiu de reduir i mitigar els impactes mediambientals i socials.</v>
      </c>
    </row>
    <row r="11" spans="1:40" ht="150" customHeight="1">
      <c r="B11" s="98" t="s">
        <v>456</v>
      </c>
      <c r="C11" s="266"/>
      <c r="D11" s="120" t="s">
        <v>631</v>
      </c>
      <c r="E11" s="120" t="s">
        <v>632</v>
      </c>
    </row>
    <row r="12" spans="1:40" ht="63.65"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635</v>
      </c>
      <c r="E15" s="111" t="s">
        <v>553</v>
      </c>
      <c r="O15" s="24"/>
      <c r="Q15"/>
    </row>
    <row r="16" spans="1:40" ht="150" customHeight="1">
      <c r="B16" s="117" t="s">
        <v>1127</v>
      </c>
      <c r="C16" s="118" t="s">
        <v>551</v>
      </c>
      <c r="D16" s="117" t="s">
        <v>636</v>
      </c>
      <c r="E16" s="112" t="s">
        <v>556</v>
      </c>
      <c r="P16"/>
      <c r="Q16"/>
    </row>
    <row r="17" spans="1:17" ht="172.5" customHeight="1">
      <c r="B17" s="117" t="s">
        <v>1370</v>
      </c>
      <c r="C17" s="118" t="s">
        <v>551</v>
      </c>
      <c r="D17" s="117" t="s">
        <v>1371</v>
      </c>
      <c r="E17" s="174" t="s">
        <v>637</v>
      </c>
      <c r="P17"/>
      <c r="Q17"/>
    </row>
    <row r="18" spans="1:17" ht="75" customHeight="1">
      <c r="B18" s="248" t="s">
        <v>1345</v>
      </c>
      <c r="C18" s="256" t="s">
        <v>551</v>
      </c>
      <c r="D18" s="248" t="s">
        <v>638</v>
      </c>
      <c r="E18" s="111" t="s">
        <v>558</v>
      </c>
      <c r="P18"/>
      <c r="Q18"/>
    </row>
    <row r="19" spans="1:17" ht="75" customHeight="1">
      <c r="B19" s="248"/>
      <c r="C19" s="258"/>
      <c r="D19" s="248"/>
      <c r="E19" s="112" t="s">
        <v>639</v>
      </c>
      <c r="P19"/>
      <c r="Q19"/>
    </row>
    <row r="20" spans="1:17" ht="60" customHeight="1">
      <c r="B20" s="253" t="s">
        <v>560</v>
      </c>
      <c r="C20" s="256" t="s">
        <v>551</v>
      </c>
      <c r="D20" s="253" t="s">
        <v>1369</v>
      </c>
      <c r="E20" s="112" t="s">
        <v>561</v>
      </c>
      <c r="P20"/>
      <c r="Q20"/>
    </row>
    <row r="21" spans="1:17" ht="60" customHeight="1">
      <c r="B21" s="254"/>
      <c r="C21" s="257"/>
      <c r="D21" s="254"/>
      <c r="E21" s="112" t="s">
        <v>562</v>
      </c>
      <c r="P21"/>
      <c r="Q21"/>
    </row>
    <row r="22" spans="1:17" ht="60" customHeight="1">
      <c r="B22" s="255"/>
      <c r="C22" s="258"/>
      <c r="D22" s="255"/>
      <c r="E22" s="112" t="s">
        <v>563</v>
      </c>
      <c r="P22"/>
      <c r="Q22"/>
    </row>
    <row r="23" spans="1:17" ht="150" customHeight="1">
      <c r="B23" s="117" t="s">
        <v>1346</v>
      </c>
      <c r="C23" s="118" t="s">
        <v>551</v>
      </c>
      <c r="D23" s="103" t="s">
        <v>1038</v>
      </c>
      <c r="E23" s="174" t="s">
        <v>566</v>
      </c>
      <c r="P23"/>
      <c r="Q23"/>
    </row>
    <row r="24" spans="1:17" ht="150" customHeight="1">
      <c r="A24" s="78"/>
      <c r="B24" s="117" t="s">
        <v>567</v>
      </c>
      <c r="C24" s="118" t="s">
        <v>551</v>
      </c>
      <c r="D24" s="117" t="s">
        <v>1372</v>
      </c>
      <c r="E24" s="112" t="s">
        <v>569</v>
      </c>
      <c r="P24"/>
      <c r="Q24"/>
    </row>
    <row r="25" spans="1:17" ht="150" customHeight="1">
      <c r="A25" s="78"/>
      <c r="B25" s="117" t="s">
        <v>570</v>
      </c>
      <c r="C25" s="118" t="s">
        <v>551</v>
      </c>
      <c r="D25" s="117" t="s">
        <v>1373</v>
      </c>
      <c r="E25" s="112" t="s">
        <v>641</v>
      </c>
      <c r="G25" s="86"/>
      <c r="H25" s="86"/>
      <c r="I25" s="86"/>
      <c r="J25" s="86"/>
      <c r="P25"/>
      <c r="Q25"/>
    </row>
    <row r="26" spans="1:17" ht="150" customHeight="1">
      <c r="A26" s="80"/>
      <c r="B26" s="117" t="s">
        <v>1374</v>
      </c>
      <c r="C26" s="119" t="s">
        <v>1375</v>
      </c>
      <c r="D26" s="117" t="s">
        <v>707</v>
      </c>
      <c r="E26" s="111" t="s">
        <v>574</v>
      </c>
      <c r="G26" s="140"/>
      <c r="H26" s="140"/>
      <c r="I26" s="140"/>
      <c r="P26"/>
      <c r="Q26"/>
    </row>
    <row r="27" spans="1:17" ht="106.5" customHeight="1">
      <c r="B27" s="274" t="s">
        <v>1331</v>
      </c>
      <c r="C27" s="276" t="s">
        <v>551</v>
      </c>
      <c r="D27" s="274" t="s">
        <v>1343</v>
      </c>
      <c r="E27" s="174" t="s">
        <v>575</v>
      </c>
      <c r="G27" s="73"/>
      <c r="H27" s="73"/>
      <c r="I27" s="73"/>
      <c r="P27"/>
      <c r="Q27"/>
    </row>
    <row r="28" spans="1:17" ht="141.5" customHeight="1">
      <c r="B28" s="275"/>
      <c r="C28" s="272"/>
      <c r="D28" s="275"/>
      <c r="E28" s="227" t="s">
        <v>1327</v>
      </c>
      <c r="G28" s="73"/>
      <c r="H28" s="73"/>
      <c r="I28" s="73"/>
      <c r="P28"/>
      <c r="Q28"/>
    </row>
    <row r="29" spans="1:17" ht="50.15" customHeight="1">
      <c r="B29" s="253" t="s">
        <v>1347</v>
      </c>
      <c r="C29" s="276" t="s">
        <v>551</v>
      </c>
      <c r="D29" s="253" t="s">
        <v>1376</v>
      </c>
      <c r="E29" s="112" t="s">
        <v>642</v>
      </c>
      <c r="G29" s="136"/>
      <c r="H29" s="136"/>
      <c r="P29"/>
      <c r="Q29"/>
    </row>
    <row r="30" spans="1:17" ht="50.15" customHeight="1">
      <c r="B30" s="254"/>
      <c r="C30" s="271"/>
      <c r="D30" s="254"/>
      <c r="E30" s="112" t="s">
        <v>578</v>
      </c>
      <c r="P30"/>
      <c r="Q30"/>
    </row>
    <row r="31" spans="1:17" ht="58" customHeight="1">
      <c r="B31" s="255"/>
      <c r="C31" s="272"/>
      <c r="D31" s="255"/>
      <c r="E31" s="112" t="s">
        <v>579</v>
      </c>
      <c r="P31"/>
      <c r="Q31"/>
    </row>
    <row r="32" spans="1:17" ht="75" customHeight="1">
      <c r="B32" s="261" t="s">
        <v>1212</v>
      </c>
      <c r="C32" s="259" t="s">
        <v>551</v>
      </c>
      <c r="D32" s="261" t="s">
        <v>1209</v>
      </c>
      <c r="E32" s="112" t="s">
        <v>581</v>
      </c>
      <c r="P32"/>
      <c r="Q32"/>
    </row>
    <row r="33" spans="1:17" ht="75" customHeight="1">
      <c r="B33" s="262"/>
      <c r="C33" s="260"/>
      <c r="D33" s="262"/>
      <c r="E33" s="112" t="s">
        <v>582</v>
      </c>
      <c r="P33"/>
      <c r="Q33"/>
    </row>
    <row r="34" spans="1:17" ht="75" customHeight="1">
      <c r="B34" s="248" t="s">
        <v>1315</v>
      </c>
      <c r="C34" s="259" t="s">
        <v>551</v>
      </c>
      <c r="D34" s="248" t="s">
        <v>1352</v>
      </c>
      <c r="E34" s="174" t="s">
        <v>1297</v>
      </c>
      <c r="P34"/>
      <c r="Q34"/>
    </row>
    <row r="35" spans="1:17" ht="75" customHeight="1">
      <c r="B35" s="248"/>
      <c r="C35" s="260"/>
      <c r="D35" s="248"/>
      <c r="E35" s="174" t="s">
        <v>580</v>
      </c>
      <c r="P35"/>
      <c r="Q35"/>
    </row>
    <row r="36" spans="1:17" ht="120" customHeight="1">
      <c r="A36" s="76"/>
      <c r="B36" s="150" t="s">
        <v>1183</v>
      </c>
      <c r="C36" s="161" t="s">
        <v>551</v>
      </c>
      <c r="D36" s="150" t="s">
        <v>1227</v>
      </c>
      <c r="E36" s="221" t="s">
        <v>643</v>
      </c>
      <c r="P36"/>
      <c r="Q36"/>
    </row>
    <row r="37" spans="1:17" ht="150" customHeight="1">
      <c r="A37" s="76"/>
      <c r="B37" s="150" t="s">
        <v>585</v>
      </c>
      <c r="C37" s="161" t="s">
        <v>551</v>
      </c>
      <c r="D37" s="150" t="s">
        <v>1229</v>
      </c>
      <c r="E37" s="216" t="s">
        <v>586</v>
      </c>
      <c r="P37"/>
      <c r="Q37"/>
    </row>
    <row r="38" spans="1:17" ht="150" customHeight="1">
      <c r="A38" s="73"/>
      <c r="B38" s="150" t="s">
        <v>644</v>
      </c>
      <c r="C38" s="161" t="s">
        <v>551</v>
      </c>
      <c r="D38" s="150" t="s">
        <v>1234</v>
      </c>
      <c r="E38" s="216" t="s">
        <v>645</v>
      </c>
      <c r="P38"/>
      <c r="Q38"/>
    </row>
    <row r="39" spans="1:17">
      <c r="A39" s="76"/>
      <c r="P39"/>
      <c r="Q39"/>
    </row>
    <row r="40" spans="1:17" ht="13" customHeight="1">
      <c r="A40" s="73"/>
      <c r="P40"/>
      <c r="Q40"/>
    </row>
    <row r="41" spans="1:17" ht="50.15" customHeight="1">
      <c r="A41" s="73"/>
      <c r="B41" s="250" t="s">
        <v>646</v>
      </c>
      <c r="C41" s="251"/>
      <c r="D41" s="251"/>
      <c r="E41" s="252"/>
      <c r="P41"/>
      <c r="Q41"/>
    </row>
    <row r="42" spans="1:17" ht="50.15" customHeight="1">
      <c r="A42" s="77"/>
      <c r="B42" s="197" t="s">
        <v>464</v>
      </c>
      <c r="C42" s="197" t="s">
        <v>548</v>
      </c>
      <c r="D42" s="197" t="s">
        <v>423</v>
      </c>
      <c r="E42" s="197" t="s">
        <v>549</v>
      </c>
      <c r="P42"/>
      <c r="Q42"/>
    </row>
    <row r="43" spans="1:17" ht="126.75" customHeight="1">
      <c r="A43" s="77"/>
      <c r="B43" s="103" t="s">
        <v>647</v>
      </c>
      <c r="C43" s="119" t="s">
        <v>551</v>
      </c>
      <c r="D43" s="103" t="s">
        <v>648</v>
      </c>
      <c r="E43" s="111" t="s">
        <v>649</v>
      </c>
      <c r="P43"/>
      <c r="Q43"/>
    </row>
    <row r="44" spans="1:17" ht="150" customHeight="1">
      <c r="A44" s="76"/>
      <c r="B44" s="103" t="s">
        <v>1377</v>
      </c>
      <c r="C44" s="119" t="s">
        <v>551</v>
      </c>
      <c r="D44" s="200" t="s">
        <v>650</v>
      </c>
      <c r="E44" s="112" t="s">
        <v>651</v>
      </c>
      <c r="P44"/>
      <c r="Q44"/>
    </row>
    <row r="45" spans="1:17" ht="150" customHeight="1">
      <c r="A45" s="76"/>
      <c r="B45" s="117" t="s">
        <v>1378</v>
      </c>
      <c r="C45" s="101" t="s">
        <v>551</v>
      </c>
      <c r="D45" s="103" t="s">
        <v>1379</v>
      </c>
      <c r="E45" s="112" t="s">
        <v>652</v>
      </c>
      <c r="P45"/>
      <c r="Q45"/>
    </row>
    <row r="46" spans="1:17" ht="150" customHeight="1">
      <c r="A46" s="70"/>
      <c r="B46" s="117" t="s">
        <v>1380</v>
      </c>
      <c r="C46" s="101" t="s">
        <v>551</v>
      </c>
      <c r="D46" s="103" t="s">
        <v>1381</v>
      </c>
      <c r="E46" s="112" t="s">
        <v>653</v>
      </c>
      <c r="P46"/>
      <c r="Q46"/>
    </row>
    <row r="47" spans="1:17" ht="150" customHeight="1">
      <c r="B47" s="117" t="s">
        <v>1382</v>
      </c>
      <c r="C47" s="101" t="s">
        <v>551</v>
      </c>
      <c r="D47" s="117" t="s">
        <v>1383</v>
      </c>
      <c r="E47" s="112" t="s">
        <v>654</v>
      </c>
      <c r="O47" s="24"/>
      <c r="Q47"/>
    </row>
    <row r="48" spans="1:17" ht="150" customHeight="1">
      <c r="B48" s="117" t="s">
        <v>1384</v>
      </c>
      <c r="C48" s="101" t="s">
        <v>551</v>
      </c>
      <c r="D48" s="117" t="s">
        <v>655</v>
      </c>
      <c r="E48" s="112" t="s">
        <v>656</v>
      </c>
      <c r="O48" s="24"/>
      <c r="Q48"/>
    </row>
    <row r="49" spans="2:17" ht="174" customHeight="1">
      <c r="B49" s="117" t="s">
        <v>1367</v>
      </c>
      <c r="C49" s="101" t="s">
        <v>551</v>
      </c>
      <c r="D49" s="117" t="s">
        <v>1385</v>
      </c>
      <c r="E49" s="174" t="s">
        <v>657</v>
      </c>
      <c r="O49" s="24"/>
      <c r="Q49"/>
    </row>
    <row r="50" spans="2:17" ht="60" customHeight="1">
      <c r="B50" s="274" t="s">
        <v>795</v>
      </c>
      <c r="C50" s="276" t="s">
        <v>551</v>
      </c>
      <c r="D50" s="253" t="s">
        <v>1305</v>
      </c>
      <c r="E50" s="227" t="s">
        <v>1307</v>
      </c>
      <c r="O50" s="24"/>
      <c r="Q50"/>
    </row>
    <row r="51" spans="2:17" ht="60" customHeight="1">
      <c r="B51" s="277"/>
      <c r="C51" s="271"/>
      <c r="D51" s="254"/>
      <c r="E51" s="174" t="s">
        <v>1306</v>
      </c>
      <c r="G51" s="136"/>
      <c r="H51" s="136"/>
      <c r="I51" s="136"/>
      <c r="P51"/>
      <c r="Q51"/>
    </row>
    <row r="52" spans="2:17" ht="60" customHeight="1">
      <c r="B52" s="277"/>
      <c r="C52" s="271"/>
      <c r="D52" s="254"/>
      <c r="E52" s="174" t="s">
        <v>576</v>
      </c>
      <c r="G52" s="140"/>
      <c r="H52" s="140"/>
      <c r="P52"/>
      <c r="Q52"/>
    </row>
    <row r="53" spans="2:17" ht="60" customHeight="1">
      <c r="B53" s="275"/>
      <c r="C53" s="272"/>
      <c r="D53" s="255"/>
      <c r="E53" s="112" t="s">
        <v>659</v>
      </c>
      <c r="G53" s="73"/>
      <c r="H53" s="73"/>
      <c r="P53"/>
      <c r="Q53"/>
    </row>
    <row r="54" spans="2:17" ht="150" customHeight="1">
      <c r="B54" s="150" t="s">
        <v>1235</v>
      </c>
      <c r="C54" s="161" t="s">
        <v>551</v>
      </c>
      <c r="D54" s="150" t="s">
        <v>1236</v>
      </c>
      <c r="E54" s="216" t="s">
        <v>660</v>
      </c>
    </row>
    <row r="55" spans="2:17" ht="24" customHeight="1"/>
  </sheetData>
  <mergeCells count="26">
    <mergeCell ref="B50:B53"/>
    <mergeCell ref="C50:C53"/>
    <mergeCell ref="D50:D53"/>
    <mergeCell ref="B41:E41"/>
    <mergeCell ref="B20:B22"/>
    <mergeCell ref="B29:B31"/>
    <mergeCell ref="D29:D31"/>
    <mergeCell ref="C29:C31"/>
    <mergeCell ref="B34:B35"/>
    <mergeCell ref="D34:D35"/>
    <mergeCell ref="C34:C35"/>
    <mergeCell ref="C20:C22"/>
    <mergeCell ref="D20:D22"/>
    <mergeCell ref="B32:B33"/>
    <mergeCell ref="C32:C33"/>
    <mergeCell ref="D32:D33"/>
    <mergeCell ref="B27:B28"/>
    <mergeCell ref="C27:C28"/>
    <mergeCell ref="D27:D28"/>
    <mergeCell ref="C4:C5"/>
    <mergeCell ref="C6:C8"/>
    <mergeCell ref="C9:C11"/>
    <mergeCell ref="B18:B19"/>
    <mergeCell ref="D18:D19"/>
    <mergeCell ref="C18:C19"/>
    <mergeCell ref="B13:E13"/>
  </mergeCells>
  <conditionalFormatting sqref="A36:A38">
    <cfRule type="containsText" dxfId="794" priority="6" operator="containsText" text="No Aplica">
      <formula>NOT(ISERROR(SEARCH("No Aplica",A36)))</formula>
    </cfRule>
    <cfRule type="containsText" dxfId="793" priority="7" operator="containsText" text="Seleccionar">
      <formula>NOT(ISERROR(SEARCH("Seleccionar",A36)))</formula>
    </cfRule>
    <cfRule type="containsText" dxfId="792" priority="8" operator="containsText" text="Parcialmente Cumple">
      <formula>NOT(ISERROR(SEARCH("Parcialmente Cumple",A36)))</formula>
    </cfRule>
    <cfRule type="containsText" dxfId="791" priority="9" operator="containsText" text="No Cumple">
      <formula>NOT(ISERROR(SEARCH("No Cumple",A36)))</formula>
    </cfRule>
    <cfRule type="beginsWith" dxfId="790" priority="10" operator="beginsWith" text="Cumple">
      <formula>LEFT(A36,LEN("Cumple"))="Cumple"</formula>
    </cfRule>
  </conditionalFormatting>
  <conditionalFormatting sqref="C3:C11 D34:D35">
    <cfRule type="containsText" dxfId="789" priority="31" operator="containsText" text="No Aplica">
      <formula>NOT(ISERROR(SEARCH("No Aplica",C3)))</formula>
    </cfRule>
    <cfRule type="containsText" dxfId="788" priority="32" operator="containsText" text="Pendiente">
      <formula>NOT(ISERROR(SEARCH("Pendiente",C3)))</formula>
    </cfRule>
    <cfRule type="containsText" dxfId="787" priority="33" operator="containsText" text="Parcialmente Cumple">
      <formula>NOT(ISERROR(SEARCH("Parcialmente Cumple",C3)))</formula>
    </cfRule>
    <cfRule type="containsText" dxfId="786" priority="34" operator="containsText" text="No Cumple">
      <formula>NOT(ISERROR(SEARCH("No Cumple",C3)))</formula>
    </cfRule>
    <cfRule type="beginsWith" dxfId="785" priority="35" operator="beginsWith" text="Cumple">
      <formula>LEFT(C3,LEN("Cumple"))="Cumple"</formula>
    </cfRule>
  </conditionalFormatting>
  <conditionalFormatting sqref="D14:D20">
    <cfRule type="containsText" dxfId="784" priority="21" operator="containsText" text="No Aplica">
      <formula>NOT(ISERROR(SEARCH("No Aplica",D14)))</formula>
    </cfRule>
    <cfRule type="containsText" dxfId="783" priority="22" operator="containsText" text="Pendiente">
      <formula>NOT(ISERROR(SEARCH("Pendiente",D14)))</formula>
    </cfRule>
    <cfRule type="containsText" dxfId="782" priority="23" operator="containsText" text="Parcialmente Cumple">
      <formula>NOT(ISERROR(SEARCH("Parcialmente Cumple",D14)))</formula>
    </cfRule>
    <cfRule type="containsText" dxfId="781" priority="24" operator="containsText" text="No Cumple">
      <formula>NOT(ISERROR(SEARCH("No Cumple",D14)))</formula>
    </cfRule>
    <cfRule type="beginsWith" dxfId="780" priority="25" operator="beginsWith" text="Cumple">
      <formula>LEFT(D14,LEN("Cumple"))="Cumple"</formula>
    </cfRule>
  </conditionalFormatting>
  <conditionalFormatting sqref="D23:D26">
    <cfRule type="containsText" dxfId="779" priority="51" operator="containsText" text="No Aplica">
      <formula>NOT(ISERROR(SEARCH("No Aplica",D23)))</formula>
    </cfRule>
    <cfRule type="containsText" dxfId="778" priority="52" operator="containsText" text="Pendiente">
      <formula>NOT(ISERROR(SEARCH("Pendiente",D23)))</formula>
    </cfRule>
    <cfRule type="containsText" dxfId="777" priority="53" operator="containsText" text="Parcialmente Cumple">
      <formula>NOT(ISERROR(SEARCH("Parcialmente Cumple",D23)))</formula>
    </cfRule>
    <cfRule type="containsText" dxfId="776" priority="54" operator="containsText" text="No Cumple">
      <formula>NOT(ISERROR(SEARCH("No Cumple",D23)))</formula>
    </cfRule>
    <cfRule type="beginsWith" dxfId="775" priority="55" operator="beginsWith" text="Cumple">
      <formula>LEFT(D23,LEN("Cumple"))="Cumple"</formula>
    </cfRule>
  </conditionalFormatting>
  <conditionalFormatting sqref="D29:D32">
    <cfRule type="containsText" dxfId="774" priority="1" operator="containsText" text="No Aplica">
      <formula>NOT(ISERROR(SEARCH("No Aplica",D29)))</formula>
    </cfRule>
    <cfRule type="containsText" dxfId="773" priority="2" operator="containsText" text="Pendiente">
      <formula>NOT(ISERROR(SEARCH("Pendiente",D29)))</formula>
    </cfRule>
    <cfRule type="containsText" dxfId="772" priority="3" operator="containsText" text="Parcialmente Cumple">
      <formula>NOT(ISERROR(SEARCH("Parcialmente Cumple",D29)))</formula>
    </cfRule>
    <cfRule type="containsText" dxfId="771" priority="4" operator="containsText" text="No Cumple">
      <formula>NOT(ISERROR(SEARCH("No Cumple",D29)))</formula>
    </cfRule>
    <cfRule type="beginsWith" dxfId="770" priority="5" operator="beginsWith" text="Cumple">
      <formula>LEFT(D29,LEN("Cumple"))="Cumple"</formula>
    </cfRule>
  </conditionalFormatting>
  <conditionalFormatting sqref="D42">
    <cfRule type="containsText" dxfId="769" priority="12" operator="containsText" text="Pendiente">
      <formula>NOT(ISERROR(SEARCH("Pendiente",D42)))</formula>
    </cfRule>
    <cfRule type="containsText" dxfId="768" priority="13" operator="containsText" text="Parcialmente Cumple">
      <formula>NOT(ISERROR(SEARCH("Parcialmente Cumple",D42)))</formula>
    </cfRule>
    <cfRule type="containsText" dxfId="767" priority="14" operator="containsText" text="No Cumple">
      <formula>NOT(ISERROR(SEARCH("No Cumple",D42)))</formula>
    </cfRule>
    <cfRule type="beginsWith" dxfId="766" priority="15" operator="beginsWith" text="Cumple">
      <formula>LEFT(D42,LEN("Cumple"))="Cumple"</formula>
    </cfRule>
  </conditionalFormatting>
  <conditionalFormatting sqref="D42:E42">
    <cfRule type="containsText" dxfId="765" priority="11" operator="containsText" text="No Aplica">
      <formula>NOT(ISERROR(SEARCH("No Aplica",D42)))</formula>
    </cfRule>
  </conditionalFormatting>
  <conditionalFormatting sqref="E14">
    <cfRule type="containsText" dxfId="764" priority="26" operator="containsText" text="No Aplica">
      <formula>NOT(ISERROR(SEARCH("No Aplica",E14)))</formula>
    </cfRule>
    <cfRule type="containsText" dxfId="763" priority="27" operator="containsText" text="Seleccionar">
      <formula>NOT(ISERROR(SEARCH("Seleccionar",E14)))</formula>
    </cfRule>
    <cfRule type="containsText" dxfId="762" priority="28" operator="containsText" text="Parcialmente Cumple">
      <formula>NOT(ISERROR(SEARCH("Parcialmente Cumple",E14)))</formula>
    </cfRule>
    <cfRule type="containsText" dxfId="761" priority="29" operator="containsText" text="No Cumple">
      <formula>NOT(ISERROR(SEARCH("No Cumple",E14)))</formula>
    </cfRule>
    <cfRule type="beginsWith" dxfId="760" priority="30" operator="beginsWith" text="Cumple">
      <formula>LEFT(E14,LEN("Cumple"))="Cumple"</formula>
    </cfRule>
  </conditionalFormatting>
  <conditionalFormatting sqref="E42">
    <cfRule type="containsText" dxfId="759" priority="17" operator="containsText" text="Seleccionar">
      <formula>NOT(ISERROR(SEARCH("Seleccionar",E42)))</formula>
    </cfRule>
    <cfRule type="containsText" dxfId="758" priority="18" operator="containsText" text="Parcialmente Cumple">
      <formula>NOT(ISERROR(SEARCH("Parcialmente Cumple",E42)))</formula>
    </cfRule>
    <cfRule type="containsText" dxfId="757" priority="19" operator="containsText" text="No Cumple">
      <formula>NOT(ISERROR(SEARCH("No Cumple",E42)))</formula>
    </cfRule>
    <cfRule type="beginsWith" dxfId="756" priority="20" operator="beginsWith" text="Cumple">
      <formula>LEFT(E42,LEN("Cumple"))="Cumple"</formula>
    </cfRule>
  </conditionalFormatting>
  <hyperlinks>
    <hyperlink ref="E44" r:id="rId1" display="Consulta los requisitos del Ecoetiqueta UE - Vestimiento y Prendas"/>
    <hyperlink ref="E45" r:id="rId2" display="Consulta el Global Recycling Standard"/>
    <hyperlink ref="E46" r:id="rId3" display="Consulta información sobre Textiles Fairtrade"/>
    <hyperlink ref="E47" r:id="rId4" display="Consulta el estandar de Global Organic Textiles"/>
    <hyperlink ref="E48" r:id="rId5" display="Consulta los requisitos de OEKO-TEX"/>
    <hyperlink ref="E53" r:id="rId6" display="Consulta información sobre el Sustainable Packiging Coalition"/>
    <hyperlink ref="E27" r:id="rId7" display="Consulta Ley 7/2022"/>
    <hyperlink ref="E52" r:id="rId8" display="Consulta más información sobre el certificado Cradle to Cradle"/>
    <hyperlink ref="E49" r:id="rId9" display="Consulta el documento BREF sobre las mejores tecnologías disponibles en la industria textil"/>
    <hyperlink ref="E17" r:id="rId10" display="Consulta información sobre el GHG Protocol"/>
    <hyperlink ref="E16" r:id="rId11" display="Consulta información sobre ISO 9001"/>
    <hyperlink ref="E19" r:id="rId12" display="Consulta información sobre ISO 14001"/>
    <hyperlink ref="E23" r:id="rId13" display="Consulta el Documento de Referencia sobre las mejores tecnologías disponibles en términos de eficiencia energética"/>
    <hyperlink ref="E20" r:id="rId14" display="Consulta más información sobre el CSRD"/>
    <hyperlink ref="E21" r:id="rId15" display="Consulta ley 11/2018"/>
    <hyperlink ref="E22" r:id="rId16" display="Consulta más información sobre el marco GRI"/>
    <hyperlink ref="E34" r:id="rId17" display="Consulta ISO 20400:2017 sobre adquisición sostenible"/>
    <hyperlink ref="E26" r:id="rId18" display="Consulta el Real Decreto 901/2020"/>
    <hyperlink ref="E29" r:id="rId19" display="Consulta información sobre el Sustainable Packiging Coalition"/>
    <hyperlink ref="E30" r:id="rId20" display="Consulta información sobre la ley de plásticos de un solo uso"/>
    <hyperlink ref="E31" r:id="rId21" display="Consulta información sobre impuestos sobre los envases de plástico no reutilizables"/>
    <hyperlink ref="E18" r:id="rId22" display="Consulta informació sobre EMAS"/>
    <hyperlink ref="E35" r:id="rId23" display="Consulta información sobre las ecoetiquetas de la UE"/>
    <hyperlink ref="E24" r:id="rId24" display="https://act.gencat.cat/wp-content/uploads/2019/05/CAT-ACT-POL%C3%8DTICA-DE-PRIVACITAT.pdf"/>
    <hyperlink ref="E25" r:id="rId25" display="Consulta un exemple de codi de conducta/ètica de proveïdors"/>
    <hyperlink ref="E15" r:id="rId26" display="Consulta més informació sobre el codi de conducta"/>
    <hyperlink ref="E43" r:id="rId27" display="Pacte per a la Moda Circular "/>
    <hyperlink ref="E36" r:id="rId28" display="https://treball.gencat.cat/ca/ambits/seguretat_i_salut_laboral/ci_/pla-govern/"/>
    <hyperlink ref="E37" r:id="rId29" display="https://govern.cat/gov/pla-govern?eix=0&amp;ambit=1"/>
    <hyperlink ref="E38" r:id="rId30" display="https://fonseuropeus.gencat.cat/ca/ris3cat/2030/index.html"/>
    <hyperlink ref="E54" r:id="rId31" display="https://bop.diba.cat/anunci/3386030/conveni-col-lectiu-de-treball-del-sector-del-comerc-textil-de-la-provincia-de-barcelona-per-als-anys-2022-2024-generalitat-de-catalunya-departament-d-empresa-i-treball"/>
    <hyperlink ref="E32" r:id="rId32" display="Consulta información sobre la iniciativa Lean and Green"/>
    <hyperlink ref="E33" r:id="rId33" display="https://canviclimatic.gencat.cat/ca/oficina/index.html"/>
    <hyperlink ref="E51" r:id="rId34" display="Consulta más información sobre la Economía Circular (Fundación Ellen McArthur)"/>
    <hyperlink ref="E50" r:id="rId35"/>
    <hyperlink ref="E28" r:id="rId36"/>
  </hyperlinks>
  <pageMargins left="0.7" right="0.7" top="0.75" bottom="0.75" header="0.3" footer="0.3"/>
  <pageSetup paperSize="9" orientation="portrait" r:id="rId3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theme="9" tint="0.39997558519241921"/>
  </sheetPr>
  <dimension ref="A1:AN57"/>
  <sheetViews>
    <sheetView showGridLines="0" zoomScale="70" zoomScaleNormal="70" workbookViewId="0">
      <selection activeCell="D5" sqref="D5"/>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311" t="s">
        <v>1501</v>
      </c>
      <c r="E1" s="93" t="s">
        <v>661</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L2" s="83"/>
    </row>
    <row r="3" spans="1:40" ht="50.15" customHeight="1">
      <c r="A3" s="80"/>
      <c r="B3" s="79"/>
      <c r="C3" s="89"/>
      <c r="D3" s="106" t="s">
        <v>360</v>
      </c>
      <c r="E3" s="106" t="s">
        <v>662</v>
      </c>
      <c r="F3" s="106" t="s">
        <v>358</v>
      </c>
      <c r="G3" s="106" t="s">
        <v>357</v>
      </c>
      <c r="H3" s="106" t="s">
        <v>1218</v>
      </c>
      <c r="I3" s="178" t="s">
        <v>363</v>
      </c>
      <c r="J3" s="108" t="s">
        <v>663</v>
      </c>
      <c r="K3" s="160" t="s">
        <v>664</v>
      </c>
    </row>
    <row r="4" spans="1:40" ht="150" customHeight="1">
      <c r="B4" s="98" t="s">
        <v>423</v>
      </c>
      <c r="C4" s="266" t="s">
        <v>356</v>
      </c>
      <c r="D4" s="95" t="str">
        <f>HLOOKUP(D3,AUTO!$B$1:$AJ$2,2,FALSE)</f>
        <v xml:space="preserve">La gestió sostenible de l'aigua tracta d'assegurar que el consum i ús d'aquesta aigua per part de l'empresa estiguin alineats amb la capacitat de recuperar-se de l'ecosistema i no generin impactes negatius. Les necessitats de consumir aigua estan lligades al sector i a la ubicació de la planta. És important destacar que les empreses amb operacions en zones amb estrès hídric caldrà que avaluïn com fer una gestió sostenible dels recursos hídrics. Això inclou reduir el consum d'aigua, millorar la captura i reutilització de les aigües grises i millorar el tractament d'aigües residuals, entre d'altres. </v>
      </c>
      <c r="E4" s="95" t="str">
        <f>HLOOKUP(E3,AUTO!$B$1:$AJ$2,2,FALSE)</f>
        <v>Aquesta categoria se centra en els impactes de les operacions o els actius d'una empresa sobre ecosistemes i la seva biodiversitat. Les activitats amb potencials impactes significatius són aquelles vinculades amb canvis en l'ús del sòl per a exploració/explotació de recursos naturals, construcció, agricultura extensiva, etc. Els impactes poden produir pèrdua de biodiversitat, destrucció d'hàbitats, deforestació i pèrdua de serveis ecosistèmics bàsics. Les empreses haurien d'avaluar les seves dependències i impactes sobre el capital natural (natura), mitigar els riscos associats i fomentar un impacte positiu en totes les fases de la cadena de valor de l'empresa.</v>
      </c>
      <c r="F4" s="95" t="str">
        <f>HLOOKUP(F3,AUTO!$B$1:$AJ$2,2,FALSE)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G4" s="95" t="str">
        <f>HLOOKUP(G3,AUTO!$B$1:$AJ$2,2,FALSE)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H4" s="95" t="str">
        <f>HLOOKUP(H3,AUTO!$B$1:$AJ$2,2,FALSE)</f>
        <v>Les emissions de contaminants com el diòxid de sofre (SOx), el diòxid de nitrogen (NOx) i els Compostos Orgànics Volàtils (VOC), entre d'altres, poden tenir un impacte significatiu sobre la qualitat de l'aire. Una mala qualitat de l'aire pot tenir efectes negatius tant sobre el medi ambient com sobre la salut de les comunitats afectades. Per tant, les empreses que duen a terme operacions que produeixen emissions a l'aire han d'avaluar el seu impacte sobre la qualitat de l'aire mitjançant controls regulars duts a terme per l'autoritat ambiental competent. Les empreses podrien considerar la instal·lació de filtres i altres mesures destinades a reduir les emissions de contaminants atmosfèrics.</v>
      </c>
      <c r="I4" s="95" t="str">
        <f>HLOOKUP(I3,AUTO!$B$1:$AJ$2,2,FALSE)</f>
        <v>El disseny dels productes i els seus cicles de vida són molt importants per gestionar l'impacte mediambiental de l'empresa. L'ecodisseny pot facilitar la reparació i el manteniment del producte i millorar-ne la tria dels materials més adequats i la reuitilització. Un correcte ecodisseny assegura una reducció dels impactes en tot el cicle de vida del producte. Les empreses que tenen en compte els impactes durant tot el cicle de vida permeten reduir l'impacte total del producte o servei en l'ús de materials, disseny industrial, producció i gestió de residus. D'aquesta manera, les empreses s'adapten als esquemes de responsabilitat ampliada del productor o futures normatives enfocades a la circularitat de l'economia.</v>
      </c>
      <c r="J4" s="95" t="str">
        <f>HLOOKUP(J3,AUTO!$B$1:$AJ$2,2,FALSE)</f>
        <v xml:space="preserve">El subministrament de matèries primeres és un tema crucial per a la sostenibilitat d'aquells sectors molt intensius en materials. Aquí les empreses haurien d'avaluar oportunitats per a una adquisició de matèries de manera sostenible amb proveïdors confiables i certificats i estratègies de recuperació de material que es pugui recuperar com a matèria primera. Aquest tema pot ser important tant per a empreses que adquireixen matèries primeres com per a empreses que adquireixen prefabricats o productes. Un exemple és la cadena de subministrament d'empreses alimentàries, on és obligatori poder demostrar que el producte utilitzat no prové de zones amb alta deforestació. </v>
      </c>
      <c r="K4" s="95" t="str">
        <f>HLOOKUP(K3,AUTO!$B$1:$AJ$2,2,FALSE)</f>
        <v>La gestió de residus perillosos i no perillosos és un àmbit en constant evolució normativa. L'adequada gestió de residus i materials perillosos és clau per reduir la contaminació causada per l'empresa o els productes que posa al mercat. Optimitzar el disseny i la producció i treballar paral·lelament a millorar la gestió de residus és clau per transicionar envers una economia circular que redueixi la necessitat d'explotació de nous recursos naturals. Per tant, les empreses que gestionen els seus residus i eviten la seva generació són més sostenibles i estan més alineades amb els principis de l'economia circular.</v>
      </c>
    </row>
    <row r="5" spans="1:40" ht="150" customHeight="1">
      <c r="B5" s="98" t="s">
        <v>456</v>
      </c>
      <c r="C5" s="267"/>
      <c r="D5" s="120" t="s">
        <v>665</v>
      </c>
      <c r="E5" s="120" t="s">
        <v>666</v>
      </c>
      <c r="F5" s="120" t="s">
        <v>667</v>
      </c>
      <c r="G5" s="122" t="s">
        <v>668</v>
      </c>
      <c r="H5" s="120" t="s">
        <v>669</v>
      </c>
      <c r="I5" s="120" t="s">
        <v>670</v>
      </c>
      <c r="J5" s="122" t="s">
        <v>671</v>
      </c>
      <c r="K5" s="120" t="s">
        <v>1323</v>
      </c>
    </row>
    <row r="6" spans="1:40" ht="50.15" customHeight="1">
      <c r="B6" s="110"/>
      <c r="C6" s="268" t="s">
        <v>369</v>
      </c>
      <c r="D6" s="71" t="s">
        <v>417</v>
      </c>
      <c r="E6" s="123" t="s">
        <v>382</v>
      </c>
      <c r="F6" s="75"/>
    </row>
    <row r="7" spans="1:40" ht="150" customHeight="1">
      <c r="B7" s="98" t="s">
        <v>423</v>
      </c>
      <c r="C7" s="266"/>
      <c r="D7" s="95" t="str">
        <f>HLOOKUP(D6,AUTO!$B$1:$AJ$2,2,FALSE)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E7" s="95" t="str">
        <f>HLOOKUP(E6,AUTO!$B$1:$AJ$2,2,FALSE)</f>
        <v>Les organitzacions tenen un impacte sobre les comunitats on operen, tant a través d'impactes físics com a través de la interacció amb els membres d'aquestes comunitats que treballen a l'empresa. Per tant, és fonamental establir relacions sòlides i respectuoses envers les comunitats afectades a través d'un diàleg que permeti comprendre i abordar els impactes negatius generats per les operacions. Algunes eines que es poden utilitzar per mantenir relacions efectives amb les comunitats inclouen la realització de reunions periòdiques amb representants de la comunitat, la incorporació de membres de la societat a l'empresa i el manteniment d'una comunicació constant amb organitzacions locals.</v>
      </c>
    </row>
    <row r="8" spans="1:40" ht="138.65" customHeight="1">
      <c r="B8" s="98" t="s">
        <v>456</v>
      </c>
      <c r="C8" s="267"/>
      <c r="D8" s="120" t="s">
        <v>1206</v>
      </c>
      <c r="E8" s="120" t="s">
        <v>672</v>
      </c>
    </row>
    <row r="9" spans="1:40" ht="50.15" customHeight="1">
      <c r="B9" s="99"/>
      <c r="C9" s="268" t="s">
        <v>383</v>
      </c>
      <c r="D9" s="71" t="s">
        <v>384</v>
      </c>
    </row>
    <row r="10" spans="1:40" ht="150" customHeight="1">
      <c r="B10" s="98" t="s">
        <v>423</v>
      </c>
      <c r="C10" s="266"/>
      <c r="D10" s="104"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row>
    <row r="11" spans="1:40" ht="150" customHeight="1">
      <c r="B11" s="98" t="s">
        <v>456</v>
      </c>
      <c r="C11" s="266"/>
      <c r="D11" s="95" t="str">
        <f>HLOOKUP(D9,AUTO!$B$1:$AJ$3,3,FALSE)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556</v>
      </c>
      <c r="O16" s="24"/>
      <c r="Q16"/>
    </row>
    <row r="17" spans="1:17" ht="75" customHeight="1">
      <c r="B17" s="248" t="s">
        <v>1345</v>
      </c>
      <c r="C17" s="256" t="s">
        <v>551</v>
      </c>
      <c r="D17" s="248" t="s">
        <v>557</v>
      </c>
      <c r="E17" s="111" t="s">
        <v>673</v>
      </c>
      <c r="O17" s="24"/>
      <c r="Q17"/>
    </row>
    <row r="18" spans="1:17" ht="75" customHeight="1">
      <c r="B18" s="248"/>
      <c r="C18" s="258"/>
      <c r="D18" s="248"/>
      <c r="E18" s="112" t="s">
        <v>674</v>
      </c>
      <c r="P18"/>
      <c r="Q18"/>
    </row>
    <row r="19" spans="1:17" ht="60" customHeight="1">
      <c r="B19" s="253" t="s">
        <v>560</v>
      </c>
      <c r="C19" s="256" t="s">
        <v>551</v>
      </c>
      <c r="D19" s="253" t="s">
        <v>861</v>
      </c>
      <c r="E19" s="112" t="s">
        <v>561</v>
      </c>
      <c r="P19"/>
      <c r="Q19"/>
    </row>
    <row r="20" spans="1:17" ht="60" customHeight="1">
      <c r="B20" s="254"/>
      <c r="C20" s="257"/>
      <c r="D20" s="254"/>
      <c r="E20" s="112" t="s">
        <v>562</v>
      </c>
      <c r="P20"/>
      <c r="Q20"/>
    </row>
    <row r="21" spans="1:17" ht="60" customHeight="1">
      <c r="B21" s="255"/>
      <c r="C21" s="258"/>
      <c r="D21" s="255"/>
      <c r="E21" s="112" t="s">
        <v>563</v>
      </c>
      <c r="P21"/>
      <c r="Q21"/>
    </row>
    <row r="22" spans="1:17" ht="174" customHeight="1">
      <c r="B22" s="117" t="s">
        <v>1370</v>
      </c>
      <c r="C22" s="118" t="s">
        <v>551</v>
      </c>
      <c r="D22" s="103" t="s">
        <v>1210</v>
      </c>
      <c r="E22" s="174" t="s">
        <v>676</v>
      </c>
      <c r="P22"/>
      <c r="Q22"/>
    </row>
    <row r="23" spans="1:17" ht="150" customHeight="1">
      <c r="B23" s="117" t="s">
        <v>1346</v>
      </c>
      <c r="C23" s="118" t="s">
        <v>551</v>
      </c>
      <c r="D23" s="103" t="s">
        <v>1038</v>
      </c>
      <c r="E23" s="174" t="s">
        <v>566</v>
      </c>
      <c r="P23"/>
      <c r="Q23"/>
    </row>
    <row r="24" spans="1:17" ht="150" customHeight="1">
      <c r="A24" s="78"/>
      <c r="B24" s="117" t="s">
        <v>567</v>
      </c>
      <c r="C24" s="118" t="s">
        <v>551</v>
      </c>
      <c r="D24" s="117" t="s">
        <v>677</v>
      </c>
      <c r="E24" s="112" t="s">
        <v>569</v>
      </c>
      <c r="P24"/>
      <c r="Q24"/>
    </row>
    <row r="25" spans="1:17" ht="144.65" customHeight="1">
      <c r="A25" s="78"/>
      <c r="B25" s="117" t="s">
        <v>570</v>
      </c>
      <c r="C25" s="118" t="s">
        <v>551</v>
      </c>
      <c r="D25" s="117" t="s">
        <v>862</v>
      </c>
      <c r="E25" s="112" t="s">
        <v>641</v>
      </c>
      <c r="G25" s="86"/>
      <c r="H25" s="86"/>
      <c r="I25" s="86"/>
      <c r="J25" s="87"/>
      <c r="K25" s="83"/>
      <c r="L25" s="86"/>
      <c r="M25" s="86"/>
      <c r="N25" s="83"/>
      <c r="P25"/>
      <c r="Q25"/>
    </row>
    <row r="26" spans="1:17" ht="150" customHeight="1">
      <c r="A26" s="80"/>
      <c r="B26" s="117" t="s">
        <v>1374</v>
      </c>
      <c r="C26" s="119" t="s">
        <v>1375</v>
      </c>
      <c r="D26" s="117" t="s">
        <v>707</v>
      </c>
      <c r="E26" s="111" t="s">
        <v>574</v>
      </c>
      <c r="G26" s="140"/>
      <c r="H26" s="140"/>
      <c r="I26" s="140"/>
      <c r="P26"/>
      <c r="Q26"/>
    </row>
    <row r="27" spans="1:17" ht="104.5" customHeight="1">
      <c r="B27" s="253" t="s">
        <v>1331</v>
      </c>
      <c r="C27" s="276" t="s">
        <v>551</v>
      </c>
      <c r="D27" s="274" t="s">
        <v>1386</v>
      </c>
      <c r="E27" s="174" t="s">
        <v>575</v>
      </c>
      <c r="G27" s="136"/>
      <c r="H27" s="136"/>
      <c r="I27" s="136"/>
      <c r="P27"/>
      <c r="Q27"/>
    </row>
    <row r="28" spans="1:17" ht="158" customHeight="1">
      <c r="B28" s="255"/>
      <c r="C28" s="272"/>
      <c r="D28" s="275"/>
      <c r="E28" s="227" t="s">
        <v>1327</v>
      </c>
      <c r="G28" s="136"/>
      <c r="H28" s="136"/>
      <c r="I28" s="136"/>
      <c r="P28"/>
      <c r="Q28"/>
    </row>
    <row r="29" spans="1:17" ht="50.15" customHeight="1">
      <c r="B29" s="253" t="s">
        <v>1347</v>
      </c>
      <c r="C29" s="276" t="s">
        <v>551</v>
      </c>
      <c r="D29" s="253" t="s">
        <v>1348</v>
      </c>
      <c r="E29" s="112" t="s">
        <v>577</v>
      </c>
      <c r="G29" s="136"/>
      <c r="H29" s="136"/>
      <c r="P29"/>
      <c r="Q29"/>
    </row>
    <row r="30" spans="1:17" ht="50.15" customHeight="1">
      <c r="B30" s="254"/>
      <c r="C30" s="271"/>
      <c r="D30" s="254"/>
      <c r="E30" s="112" t="s">
        <v>578</v>
      </c>
      <c r="P30"/>
      <c r="Q30"/>
    </row>
    <row r="31" spans="1:17" ht="50.15" customHeight="1">
      <c r="B31" s="255"/>
      <c r="C31" s="272"/>
      <c r="D31" s="255"/>
      <c r="E31" s="112" t="s">
        <v>579</v>
      </c>
      <c r="P31"/>
      <c r="Q31"/>
    </row>
    <row r="32" spans="1:17" ht="75" customHeight="1">
      <c r="B32" s="261" t="s">
        <v>1212</v>
      </c>
      <c r="C32" s="259" t="s">
        <v>551</v>
      </c>
      <c r="D32" s="261" t="s">
        <v>1209</v>
      </c>
      <c r="E32" s="112" t="s">
        <v>581</v>
      </c>
      <c r="P32"/>
      <c r="Q32"/>
    </row>
    <row r="33" spans="1:17" ht="75" customHeight="1">
      <c r="B33" s="262"/>
      <c r="C33" s="260"/>
      <c r="D33" s="262"/>
      <c r="E33" s="112" t="s">
        <v>582</v>
      </c>
      <c r="P33"/>
      <c r="Q33"/>
    </row>
    <row r="34" spans="1:17" ht="92.5" customHeight="1">
      <c r="B34" s="248" t="s">
        <v>1315</v>
      </c>
      <c r="C34" s="259" t="s">
        <v>551</v>
      </c>
      <c r="D34" s="248" t="s">
        <v>1352</v>
      </c>
      <c r="E34" s="174" t="s">
        <v>1297</v>
      </c>
      <c r="P34"/>
      <c r="Q34"/>
    </row>
    <row r="35" spans="1:17" ht="82.5" customHeight="1">
      <c r="B35" s="248"/>
      <c r="C35" s="260"/>
      <c r="D35" s="248"/>
      <c r="E35" s="174" t="s">
        <v>580</v>
      </c>
      <c r="P35"/>
      <c r="Q35"/>
    </row>
    <row r="36" spans="1:17" ht="150" customHeight="1">
      <c r="A36" s="76"/>
      <c r="B36" s="150" t="s">
        <v>1183</v>
      </c>
      <c r="C36" s="161" t="s">
        <v>551</v>
      </c>
      <c r="D36" s="150" t="s">
        <v>1227</v>
      </c>
      <c r="E36" s="221" t="s">
        <v>643</v>
      </c>
      <c r="P36"/>
      <c r="Q36"/>
    </row>
    <row r="37" spans="1:17" ht="150" customHeight="1">
      <c r="A37" s="76"/>
      <c r="B37" s="150" t="s">
        <v>585</v>
      </c>
      <c r="C37" s="161" t="s">
        <v>551</v>
      </c>
      <c r="D37" s="150" t="s">
        <v>1229</v>
      </c>
      <c r="E37" s="216" t="s">
        <v>586</v>
      </c>
      <c r="P37"/>
      <c r="Q37"/>
    </row>
    <row r="38" spans="1:17" ht="13" customHeight="1">
      <c r="A38" s="73"/>
      <c r="P38"/>
      <c r="Q38"/>
    </row>
    <row r="39" spans="1:17" ht="13" customHeight="1">
      <c r="A39" s="73"/>
      <c r="P39"/>
      <c r="Q39"/>
    </row>
    <row r="40" spans="1:17" ht="50.15" customHeight="1">
      <c r="A40" s="73"/>
      <c r="B40" s="250" t="s">
        <v>678</v>
      </c>
      <c r="C40" s="251"/>
      <c r="D40" s="251"/>
      <c r="E40" s="252"/>
      <c r="P40"/>
      <c r="Q40"/>
    </row>
    <row r="41" spans="1:17" ht="50.15" customHeight="1">
      <c r="A41" s="77"/>
      <c r="B41" s="197" t="s">
        <v>464</v>
      </c>
      <c r="C41" s="197" t="s">
        <v>548</v>
      </c>
      <c r="D41" s="197" t="s">
        <v>423</v>
      </c>
      <c r="E41" s="197" t="s">
        <v>549</v>
      </c>
      <c r="P41"/>
      <c r="Q41"/>
    </row>
    <row r="42" spans="1:17" ht="82" customHeight="1">
      <c r="A42" s="76"/>
      <c r="B42" s="253" t="s">
        <v>1387</v>
      </c>
      <c r="C42" s="263" t="s">
        <v>1388</v>
      </c>
      <c r="D42" s="253" t="s">
        <v>679</v>
      </c>
      <c r="E42" s="112" t="s">
        <v>680</v>
      </c>
      <c r="P42"/>
      <c r="Q42"/>
    </row>
    <row r="43" spans="1:17" ht="82" customHeight="1">
      <c r="A43" s="76"/>
      <c r="B43" s="255"/>
      <c r="C43" s="278"/>
      <c r="D43" s="255"/>
      <c r="E43" s="112" t="s">
        <v>681</v>
      </c>
      <c r="P43"/>
      <c r="Q43"/>
    </row>
    <row r="44" spans="1:17" ht="50.15" customHeight="1">
      <c r="A44" s="76"/>
      <c r="B44" s="280" t="s">
        <v>682</v>
      </c>
      <c r="C44" s="279" t="s">
        <v>1389</v>
      </c>
      <c r="D44" s="248" t="s">
        <v>1390</v>
      </c>
      <c r="E44" s="112" t="s">
        <v>683</v>
      </c>
      <c r="O44" s="24"/>
      <c r="Q44"/>
    </row>
    <row r="45" spans="1:17" ht="50.15" customHeight="1">
      <c r="A45" s="70"/>
      <c r="B45" s="281"/>
      <c r="C45" s="273"/>
      <c r="D45" s="249"/>
      <c r="E45" s="112" t="s">
        <v>684</v>
      </c>
      <c r="O45" s="24"/>
      <c r="Q45"/>
    </row>
    <row r="46" spans="1:17" ht="50.15" customHeight="1">
      <c r="B46" s="281"/>
      <c r="C46" s="273"/>
      <c r="D46" s="249"/>
      <c r="E46" s="112" t="s">
        <v>685</v>
      </c>
      <c r="O46" s="24"/>
      <c r="Q46"/>
    </row>
    <row r="47" spans="1:17" ht="122.15" customHeight="1">
      <c r="B47" s="117" t="s">
        <v>1391</v>
      </c>
      <c r="C47" s="118" t="s">
        <v>686</v>
      </c>
      <c r="D47" s="117" t="s">
        <v>1392</v>
      </c>
      <c r="E47" s="112" t="s">
        <v>687</v>
      </c>
      <c r="O47" s="24"/>
      <c r="Q47"/>
    </row>
    <row r="48" spans="1:17" ht="150" customHeight="1">
      <c r="B48" s="117" t="s">
        <v>1393</v>
      </c>
      <c r="C48" s="118" t="s">
        <v>686</v>
      </c>
      <c r="D48" s="117" t="s">
        <v>688</v>
      </c>
      <c r="E48" s="112" t="s">
        <v>689</v>
      </c>
      <c r="O48" s="24"/>
      <c r="Q48"/>
    </row>
    <row r="49" spans="2:17" ht="75" customHeight="1">
      <c r="B49" s="248" t="s">
        <v>1367</v>
      </c>
      <c r="C49" s="273" t="s">
        <v>551</v>
      </c>
      <c r="D49" s="248" t="s">
        <v>1394</v>
      </c>
      <c r="E49" s="174" t="s">
        <v>690</v>
      </c>
      <c r="O49" s="24"/>
      <c r="Q49"/>
    </row>
    <row r="50" spans="2:17" ht="75" customHeight="1">
      <c r="B50" s="248"/>
      <c r="C50" s="273"/>
      <c r="D50" s="248"/>
      <c r="E50" s="174" t="s">
        <v>691</v>
      </c>
      <c r="O50" s="24"/>
      <c r="Q50"/>
    </row>
    <row r="51" spans="2:17" ht="55" customHeight="1">
      <c r="B51" s="253" t="s">
        <v>795</v>
      </c>
      <c r="C51" s="276" t="s">
        <v>551</v>
      </c>
      <c r="D51" s="253" t="s">
        <v>1395</v>
      </c>
      <c r="E51" s="227" t="s">
        <v>1309</v>
      </c>
      <c r="O51" s="24"/>
      <c r="Q51"/>
    </row>
    <row r="52" spans="2:17" ht="50.15" customHeight="1">
      <c r="B52" s="254"/>
      <c r="C52" s="271"/>
      <c r="D52" s="254"/>
      <c r="E52" s="174" t="s">
        <v>658</v>
      </c>
      <c r="O52" s="24"/>
      <c r="Q52"/>
    </row>
    <row r="53" spans="2:17" ht="60.5" customHeight="1">
      <c r="B53" s="254"/>
      <c r="C53" s="271"/>
      <c r="D53" s="254"/>
      <c r="E53" s="174" t="s">
        <v>576</v>
      </c>
      <c r="O53" s="24"/>
      <c r="Q53"/>
    </row>
    <row r="54" spans="2:17" ht="62" customHeight="1">
      <c r="B54" s="255"/>
      <c r="C54" s="272"/>
      <c r="D54" s="255"/>
      <c r="E54" s="112" t="s">
        <v>577</v>
      </c>
      <c r="O54" s="24"/>
      <c r="Q54"/>
    </row>
    <row r="55" spans="2:17" ht="75" customHeight="1">
      <c r="B55" s="261" t="s">
        <v>610</v>
      </c>
      <c r="C55" s="283" t="s">
        <v>551</v>
      </c>
      <c r="D55" s="261" t="s">
        <v>611</v>
      </c>
      <c r="E55" s="216" t="s">
        <v>692</v>
      </c>
      <c r="O55" s="24"/>
      <c r="Q55"/>
    </row>
    <row r="56" spans="2:17" ht="75" customHeight="1">
      <c r="B56" s="282"/>
      <c r="C56" s="284"/>
      <c r="D56" s="282"/>
      <c r="E56" s="216" t="s">
        <v>693</v>
      </c>
      <c r="O56" s="24"/>
      <c r="Q56"/>
    </row>
    <row r="57" spans="2:17" ht="110" customHeight="1">
      <c r="B57" s="224" t="s">
        <v>694</v>
      </c>
      <c r="C57" s="151" t="s">
        <v>551</v>
      </c>
      <c r="D57" s="150" t="s">
        <v>1237</v>
      </c>
      <c r="E57" s="216" t="s">
        <v>695</v>
      </c>
    </row>
  </sheetData>
  <mergeCells count="38">
    <mergeCell ref="B55:B56"/>
    <mergeCell ref="C55:C56"/>
    <mergeCell ref="D55:D56"/>
    <mergeCell ref="B51:B54"/>
    <mergeCell ref="C51:C54"/>
    <mergeCell ref="D51:D54"/>
    <mergeCell ref="B49:B50"/>
    <mergeCell ref="D49:D50"/>
    <mergeCell ref="C49:C50"/>
    <mergeCell ref="B19:B21"/>
    <mergeCell ref="C19:C21"/>
    <mergeCell ref="D19:D21"/>
    <mergeCell ref="B40:E40"/>
    <mergeCell ref="C44:C46"/>
    <mergeCell ref="B44:B46"/>
    <mergeCell ref="D44:D46"/>
    <mergeCell ref="B29:B31"/>
    <mergeCell ref="D29:D31"/>
    <mergeCell ref="C29:C31"/>
    <mergeCell ref="B34:B35"/>
    <mergeCell ref="D34:D35"/>
    <mergeCell ref="C34:C35"/>
    <mergeCell ref="C4:C5"/>
    <mergeCell ref="C6:C8"/>
    <mergeCell ref="C9:C11"/>
    <mergeCell ref="B17:B18"/>
    <mergeCell ref="D17:D18"/>
    <mergeCell ref="C17:C18"/>
    <mergeCell ref="B13:E13"/>
    <mergeCell ref="B27:B28"/>
    <mergeCell ref="C27:C28"/>
    <mergeCell ref="D27:D28"/>
    <mergeCell ref="D42:D43"/>
    <mergeCell ref="B42:B43"/>
    <mergeCell ref="C42:C43"/>
    <mergeCell ref="B32:B33"/>
    <mergeCell ref="C32:C33"/>
    <mergeCell ref="D32:D33"/>
  </mergeCells>
  <phoneticPr fontId="21" type="noConversion"/>
  <conditionalFormatting sqref="A36:A40">
    <cfRule type="containsText" dxfId="755" priority="6" operator="containsText" text="No Aplica">
      <formula>NOT(ISERROR(SEARCH("No Aplica",A36)))</formula>
    </cfRule>
    <cfRule type="containsText" dxfId="754" priority="7" operator="containsText" text="Seleccionar">
      <formula>NOT(ISERROR(SEARCH("Seleccionar",A36)))</formula>
    </cfRule>
    <cfRule type="containsText" dxfId="753" priority="8" operator="containsText" text="Parcialmente Cumple">
      <formula>NOT(ISERROR(SEARCH("Parcialmente Cumple",A36)))</formula>
    </cfRule>
    <cfRule type="containsText" dxfId="752" priority="9" operator="containsText" text="No Cumple">
      <formula>NOT(ISERROR(SEARCH("No Cumple",A36)))</formula>
    </cfRule>
    <cfRule type="beginsWith" dxfId="751" priority="10" operator="beginsWith" text="Cumple">
      <formula>LEFT(A36,LEN("Cumple"))="Cumple"</formula>
    </cfRule>
  </conditionalFormatting>
  <conditionalFormatting sqref="C3:C11 D34:D35">
    <cfRule type="containsText" dxfId="750" priority="31" operator="containsText" text="No Aplica">
      <formula>NOT(ISERROR(SEARCH("No Aplica",C3)))</formula>
    </cfRule>
    <cfRule type="containsText" dxfId="749" priority="32" operator="containsText" text="Pendiente">
      <formula>NOT(ISERROR(SEARCH("Pendiente",C3)))</formula>
    </cfRule>
    <cfRule type="containsText" dxfId="748" priority="33" operator="containsText" text="Parcialmente Cumple">
      <formula>NOT(ISERROR(SEARCH("Parcialmente Cumple",C3)))</formula>
    </cfRule>
    <cfRule type="containsText" dxfId="747" priority="34" operator="containsText" text="No Cumple">
      <formula>NOT(ISERROR(SEARCH("No Cumple",C3)))</formula>
    </cfRule>
    <cfRule type="beginsWith" dxfId="746" priority="35" operator="beginsWith" text="Cumple">
      <formula>LEFT(C3,LEN("Cumple"))="Cumple"</formula>
    </cfRule>
  </conditionalFormatting>
  <conditionalFormatting sqref="D14:D19">
    <cfRule type="containsText" dxfId="745" priority="21" operator="containsText" text="No Aplica">
      <formula>NOT(ISERROR(SEARCH("No Aplica",D14)))</formula>
    </cfRule>
    <cfRule type="containsText" dxfId="744" priority="22" operator="containsText" text="Pendiente">
      <formula>NOT(ISERROR(SEARCH("Pendiente",D14)))</formula>
    </cfRule>
    <cfRule type="containsText" dxfId="743" priority="23" operator="containsText" text="Parcialmente Cumple">
      <formula>NOT(ISERROR(SEARCH("Parcialmente Cumple",D14)))</formula>
    </cfRule>
    <cfRule type="containsText" dxfId="742" priority="24" operator="containsText" text="No Cumple">
      <formula>NOT(ISERROR(SEARCH("No Cumple",D14)))</formula>
    </cfRule>
    <cfRule type="beginsWith" dxfId="741" priority="25" operator="beginsWith" text="Cumple">
      <formula>LEFT(D14,LEN("Cumple"))="Cumple"</formula>
    </cfRule>
  </conditionalFormatting>
  <conditionalFormatting sqref="D23">
    <cfRule type="containsText" dxfId="740" priority="61" operator="containsText" text="No Aplica">
      <formula>NOT(ISERROR(SEARCH("No Aplica",D23)))</formula>
    </cfRule>
    <cfRule type="containsText" dxfId="739" priority="62" operator="containsText" text="Pendiente">
      <formula>NOT(ISERROR(SEARCH("Pendiente",D23)))</formula>
    </cfRule>
    <cfRule type="containsText" dxfId="738" priority="63" operator="containsText" text="Parcialmente Cumple">
      <formula>NOT(ISERROR(SEARCH("Parcialmente Cumple",D23)))</formula>
    </cfRule>
    <cfRule type="containsText" dxfId="737" priority="64" operator="containsText" text="No Cumple">
      <formula>NOT(ISERROR(SEARCH("No Cumple",D23)))</formula>
    </cfRule>
    <cfRule type="beginsWith" dxfId="736" priority="65" operator="beginsWith" text="Cumple">
      <formula>LEFT(D23,LEN("Cumple"))="Cumple"</formula>
    </cfRule>
  </conditionalFormatting>
  <conditionalFormatting sqref="D26">
    <cfRule type="containsText" dxfId="735" priority="56" operator="containsText" text="No Aplica">
      <formula>NOT(ISERROR(SEARCH("No Aplica",D26)))</formula>
    </cfRule>
    <cfRule type="containsText" dxfId="734" priority="57" operator="containsText" text="Pendiente">
      <formula>NOT(ISERROR(SEARCH("Pendiente",D26)))</formula>
    </cfRule>
    <cfRule type="containsText" dxfId="733" priority="58" operator="containsText" text="Parcialmente Cumple">
      <formula>NOT(ISERROR(SEARCH("Parcialmente Cumple",D26)))</formula>
    </cfRule>
    <cfRule type="containsText" dxfId="732" priority="59" operator="containsText" text="No Cumple">
      <formula>NOT(ISERROR(SEARCH("No Cumple",D26)))</formula>
    </cfRule>
    <cfRule type="beginsWith" dxfId="731" priority="60" operator="beginsWith" text="Cumple">
      <formula>LEFT(D26,LEN("Cumple"))="Cumple"</formula>
    </cfRule>
  </conditionalFormatting>
  <conditionalFormatting sqref="D29:D32">
    <cfRule type="containsText" dxfId="730" priority="1" operator="containsText" text="No Aplica">
      <formula>NOT(ISERROR(SEARCH("No Aplica",D29)))</formula>
    </cfRule>
    <cfRule type="containsText" dxfId="729" priority="2" operator="containsText" text="Pendiente">
      <formula>NOT(ISERROR(SEARCH("Pendiente",D29)))</formula>
    </cfRule>
    <cfRule type="containsText" dxfId="728" priority="3" operator="containsText" text="Parcialmente Cumple">
      <formula>NOT(ISERROR(SEARCH("Parcialmente Cumple",D29)))</formula>
    </cfRule>
    <cfRule type="containsText" dxfId="727" priority="4" operator="containsText" text="No Cumple">
      <formula>NOT(ISERROR(SEARCH("No Cumple",D29)))</formula>
    </cfRule>
    <cfRule type="beginsWith" dxfId="726" priority="5" operator="beginsWith" text="Cumple">
      <formula>LEFT(D29,LEN("Cumple"))="Cumple"</formula>
    </cfRule>
  </conditionalFormatting>
  <conditionalFormatting sqref="D41">
    <cfRule type="containsText" dxfId="725" priority="12" operator="containsText" text="Pendiente">
      <formula>NOT(ISERROR(SEARCH("Pendiente",D41)))</formula>
    </cfRule>
    <cfRule type="containsText" dxfId="724" priority="13" operator="containsText" text="Parcialmente Cumple">
      <formula>NOT(ISERROR(SEARCH("Parcialmente Cumple",D41)))</formula>
    </cfRule>
    <cfRule type="containsText" dxfId="723" priority="14" operator="containsText" text="No Cumple">
      <formula>NOT(ISERROR(SEARCH("No Cumple",D41)))</formula>
    </cfRule>
    <cfRule type="beginsWith" dxfId="722" priority="15" operator="beginsWith" text="Cumple">
      <formula>LEFT(D41,LEN("Cumple"))="Cumple"</formula>
    </cfRule>
  </conditionalFormatting>
  <conditionalFormatting sqref="D41:E41">
    <cfRule type="containsText" dxfId="721" priority="11" operator="containsText" text="No Aplica">
      <formula>NOT(ISERROR(SEARCH("No Aplica",D41)))</formula>
    </cfRule>
  </conditionalFormatting>
  <conditionalFormatting sqref="E14">
    <cfRule type="containsText" dxfId="720" priority="26" operator="containsText" text="No Aplica">
      <formula>NOT(ISERROR(SEARCH("No Aplica",E14)))</formula>
    </cfRule>
    <cfRule type="containsText" dxfId="719" priority="27" operator="containsText" text="Seleccionar">
      <formula>NOT(ISERROR(SEARCH("Seleccionar",E14)))</formula>
    </cfRule>
    <cfRule type="containsText" dxfId="718" priority="28" operator="containsText" text="Parcialmente Cumple">
      <formula>NOT(ISERROR(SEARCH("Parcialmente Cumple",E14)))</formula>
    </cfRule>
    <cfRule type="containsText" dxfId="717" priority="29" operator="containsText" text="No Cumple">
      <formula>NOT(ISERROR(SEARCH("No Cumple",E14)))</formula>
    </cfRule>
    <cfRule type="beginsWith" dxfId="716" priority="30" operator="beginsWith" text="Cumple">
      <formula>LEFT(E14,LEN("Cumple"))="Cumple"</formula>
    </cfRule>
  </conditionalFormatting>
  <conditionalFormatting sqref="E41">
    <cfRule type="containsText" dxfId="715" priority="17" operator="containsText" text="Seleccionar">
      <formula>NOT(ISERROR(SEARCH("Seleccionar",E41)))</formula>
    </cfRule>
    <cfRule type="containsText" dxfId="714" priority="18" operator="containsText" text="Parcialmente Cumple">
      <formula>NOT(ISERROR(SEARCH("Parcialmente Cumple",E41)))</formula>
    </cfRule>
    <cfRule type="containsText" dxfId="713" priority="19" operator="containsText" text="No Cumple">
      <formula>NOT(ISERROR(SEARCH("No Cumple",E41)))</formula>
    </cfRule>
    <cfRule type="beginsWith" dxfId="712" priority="20" operator="beginsWith" text="Cumple">
      <formula>LEFT(E41,LEN("Cumple"))="Cumple"</formula>
    </cfRule>
  </conditionalFormatting>
  <hyperlinks>
    <hyperlink ref="E42" r:id="rId1" display="https://eur-lex.europa.eu/legal-content/ES/TXT/PDF/?uri=CELEX:32019D0070"/>
    <hyperlink ref="E44" r:id="rId2" display="Consulta información FSC"/>
    <hyperlink ref="E45" r:id="rId3" display="Consulta el sitio web de PEFC"/>
    <hyperlink ref="E46" r:id="rId4" display="Consulta información del SFI"/>
    <hyperlink ref="E47" r:id="rId5" display="Consulta información del EN 643"/>
    <hyperlink ref="E48" r:id="rId6" display="Consulta la regulación contra la deforestación - UE"/>
    <hyperlink ref="E22" r:id="rId7" display="Consulta información sobre el GHG Protocol"/>
    <hyperlink ref="E49" r:id="rId8" display="Consulta el documento BREF sobre las mejores tecnologías disponibles para la producción de pulpa, papel y tableros"/>
    <hyperlink ref="E50" r:id="rId9" display="Consulta el documento BREF sobre las mejores tecnologías disponibles para la producción de paneles de madera"/>
    <hyperlink ref="E49:E50" r:id="rId10" display="Consulta el documento BREF sobre las mejores tecnologías disponibles para la producción de pulpa, papel y tableros"/>
    <hyperlink ref="E54" r:id="rId11" display="Consulta información sobre el Sustainable Packiging Coalition"/>
    <hyperlink ref="E53" r:id="rId12" display="Consulta más información sobre el certificado Cradle to Cradle"/>
    <hyperlink ref="E52" r:id="rId13" display="Consulta más información sobre la Economía Circular (Fundación Ellen McArthur)"/>
    <hyperlink ref="E16" r:id="rId14" display="Consulta información sobre ISO 9001"/>
    <hyperlink ref="E18" r:id="rId15" display="Consulta información sobre ISO 14001"/>
    <hyperlink ref="E19" r:id="rId16" display="Consulta más información sobre el CSRD"/>
    <hyperlink ref="E20" r:id="rId17" display="Consulta ley 11/2018"/>
    <hyperlink ref="E21" r:id="rId18" display="Consulta más información sobre el marco GRI"/>
    <hyperlink ref="E23" r:id="rId19" display="Consulta el Documento de Referencia sobre las mejores tecnologías disponibles en términos de eficiencia energética"/>
    <hyperlink ref="E26" r:id="rId20" display="Consulta el Real Decreto 901/2020"/>
    <hyperlink ref="E27" r:id="rId21" display="Consulta Ley 7/2022"/>
    <hyperlink ref="E29" r:id="rId22" display="Consulta información sobre el Sustainable Packiging Coalition"/>
    <hyperlink ref="E30" r:id="rId23" display="Consulta información sobre la ley de plásticos de un solo uso"/>
    <hyperlink ref="E31" r:id="rId24" display="Consulta información sobre impuestos sobre los envases de plástico no reutilizables"/>
    <hyperlink ref="E34" r:id="rId25" display="Consulta ISO 20400:2017 sobre adquisición sostenible"/>
    <hyperlink ref="E17" r:id="rId26"/>
    <hyperlink ref="E35" r:id="rId27" display="Consulta información sobre las ecoetiquetas de la UE"/>
    <hyperlink ref="E24" r:id="rId28" display="https://act.gencat.cat/wp-content/uploads/2019/05/CAT-ACT-POL%C3%8DTICA-DE-PRIVACITAT.pdf"/>
    <hyperlink ref="E25" r:id="rId29" display="Consulta un exemple de codi de conducta/ètica de proveïdors"/>
    <hyperlink ref="E15" r:id="rId30" display="Consulta més informació sobre el codi de conducta"/>
    <hyperlink ref="E43" r:id="rId31" display="https://dogc.gencat.cat/ca/document-del-dogc/?documentId=726464"/>
    <hyperlink ref="E36" r:id="rId32" display="https://treball.gencat.cat/ca/ambits/seguretat_i_salut_laboral/ci_/pla-govern/"/>
    <hyperlink ref="E37" r:id="rId33" display="https://govern.cat/gov/pla-govern?eix=0&amp;ambit=1"/>
    <hyperlink ref="E57" r:id="rId34"/>
    <hyperlink ref="E32" r:id="rId35" display="Consulta información sobre la iniciativa Lean and Green"/>
    <hyperlink ref="E33" r:id="rId36" display="https://canviclimatic.gencat.cat/ca/oficina/index.html"/>
    <hyperlink ref="E56" r:id="rId37"/>
    <hyperlink ref="E55" r:id="rId38"/>
    <hyperlink ref="E51" r:id="rId39"/>
    <hyperlink ref="E28" r:id="rId40"/>
  </hyperlinks>
  <pageMargins left="0.7" right="0.7" top="0.75" bottom="0.75" header="0.3" footer="0.3"/>
  <pageSetup paperSize="9" orientation="portrait" verticalDpi="0" r:id="rId4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theme="9" tint="0.39997558519241921"/>
  </sheetPr>
  <dimension ref="A1:AN81"/>
  <sheetViews>
    <sheetView showGridLines="0" zoomScale="70" zoomScaleNormal="70" workbookViewId="0">
      <selection activeCell="D1" sqref="D1"/>
    </sheetView>
  </sheetViews>
  <sheetFormatPr defaultColWidth="11.453125" defaultRowHeight="12.5"/>
  <cols>
    <col min="1" max="1" width="15.453125" customWidth="1"/>
    <col min="2" max="2" width="36.453125" customWidth="1"/>
    <col min="3" max="3" width="18.81640625" customWidth="1"/>
    <col min="4" max="10" width="65.54296875" customWidth="1"/>
    <col min="11"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102" t="s">
        <v>1500</v>
      </c>
      <c r="E1" s="93" t="s">
        <v>696</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C2" s="72"/>
      <c r="L2" s="83"/>
    </row>
    <row r="3" spans="1:40" ht="50.15" customHeight="1">
      <c r="A3" s="80"/>
      <c r="B3" s="79"/>
      <c r="C3" s="89"/>
      <c r="D3" s="71" t="s">
        <v>360</v>
      </c>
      <c r="E3" s="71" t="s">
        <v>358</v>
      </c>
      <c r="F3" s="71" t="s">
        <v>361</v>
      </c>
      <c r="G3" s="71" t="s">
        <v>1218</v>
      </c>
      <c r="H3" s="123" t="s">
        <v>367</v>
      </c>
      <c r="I3" s="108" t="s">
        <v>357</v>
      </c>
      <c r="J3" s="134"/>
      <c r="K3" s="135"/>
    </row>
    <row r="4" spans="1:40" ht="150" customHeight="1">
      <c r="B4" s="98" t="s">
        <v>423</v>
      </c>
      <c r="C4" s="266" t="s">
        <v>356</v>
      </c>
      <c r="D4" s="104" t="str">
        <f>HLOOKUP(D3,AUTO!$B$1:$AJ$2,2,FALSE)</f>
        <v xml:space="preserve">La gestió sostenible de l'aigua tracta d'assegurar que el consum i ús d'aquesta aigua per part de l'empresa estiguin alineats amb la capacitat de recuperar-se de l'ecosistema i no generin impactes negatius. Les necessitats de consumir aigua estan lligades al sector i a la ubicació de la planta. És important destacar que les empreses amb operacions en zones amb estrès hídric caldrà que avaluïn com fer una gestió sostenible dels recursos hídrics. Això inclou reduir el consum d'aigua, millorar la captura i reutilització de les aigües grises i millorar el tractament d'aigües residuals, entre d'altres. </v>
      </c>
      <c r="E4" s="95" t="str">
        <f>HLOOKUP(E3,AUTO!$B$1:$AJ$2,2,FALSE)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F4" s="95" t="str">
        <f>HLOOKUP(F3,AUTO!$B$1:$AJ$2,2,FALSE)</f>
        <v>La gestió de residus perillosos i no perillosos és un àmbit en constant evolució normativa. L'adequada gestió de residus i materials perillosos és clau per reduir la contaminació causada per l'empresa o els productes que posa al mercat. Optimitzar el disseny i la producció i treballar paral·lelament a millorar la gestió de residus és clau per transicionar envers una economia circular que redueixi la necessitat d'explotació de nous recursos naturals. Per tant, les empreses que gestionen els seus residus i eviten la seva generació són més sostenibles i estan més alineades amb els principis de l'economia circular.</v>
      </c>
      <c r="G4" s="95" t="str">
        <f>HLOOKUP(G3,AUTO!$B$1:$AJ$2,2,FALSE)</f>
        <v>Les emissions de contaminants com el diòxid de sofre (SOx), el diòxid de nitrogen (NOx) i els Compostos Orgànics Volàtils (VOC), entre d'altres, poden tenir un impacte significatiu sobre la qualitat de l'aire. Una mala qualitat de l'aire pot tenir efectes negatius tant sobre el medi ambient com sobre la salut de les comunitats afectades. Per tant, les empreses que duen a terme operacions que produeixen emissions a l'aire han d'avaluar el seu impacte sobre la qualitat de l'aire mitjançant controls regulars duts a terme per l'autoritat ambiental competent. Les empreses podrien considerar la instal·lació de filtres i altres mesures destinades a reduir les emissions de contaminants atmosfèrics.</v>
      </c>
      <c r="H4" s="115" t="str">
        <f>HLOOKUP(H3,AUTO!$B$1:$AJ$2,2,FALSE)</f>
        <v>Garantir la seguretat química és de gran importància per preservar els ecosistemes i protegir les comunitats properes a instal·lacions que empren substàncies químiques perilloses. Les empreses que comercialitzen productes que contenen substàncies químiques perilloses susceptibles d'entrar en contacte amb l'entorn natural o els usuaris d'aquests productes és essencial que prenguin totes les mesures necessàries per prevenir aquesta situació. Millorar la seguretat química pot implicar la recerca d'alternatives de materials per a l'ús en els seus productes, dissenyar productes de manera segura per prevenir fuites de substàncies i elaborar un pla de gestió de residus al final del cicle de vida del producte.</v>
      </c>
      <c r="I4" s="95" t="str">
        <f>HLOOKUP(I3,AUTO!$B$1:$AJ$2,2,FALSE)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J4" s="73"/>
      <c r="K4" s="73"/>
    </row>
    <row r="5" spans="1:40" ht="150" customHeight="1">
      <c r="B5" s="98" t="s">
        <v>456</v>
      </c>
      <c r="C5" s="267"/>
      <c r="D5" s="120" t="s">
        <v>697</v>
      </c>
      <c r="E5" s="120" t="s">
        <v>698</v>
      </c>
      <c r="F5" s="120" t="s">
        <v>699</v>
      </c>
      <c r="G5" s="120" t="s">
        <v>700</v>
      </c>
      <c r="H5" s="131" t="s">
        <v>701</v>
      </c>
      <c r="I5" s="122" t="s">
        <v>702</v>
      </c>
      <c r="J5" s="137"/>
      <c r="K5" s="136"/>
    </row>
    <row r="6" spans="1:40" ht="50.15" customHeight="1">
      <c r="B6" s="110"/>
      <c r="C6" s="268" t="s">
        <v>369</v>
      </c>
      <c r="D6" s="71" t="s">
        <v>374</v>
      </c>
      <c r="E6" s="123" t="s">
        <v>417</v>
      </c>
      <c r="F6" s="124" t="s">
        <v>382</v>
      </c>
      <c r="G6" s="113"/>
      <c r="H6" s="114"/>
      <c r="I6" s="114"/>
    </row>
    <row r="7" spans="1:40" ht="150" customHeight="1">
      <c r="B7" s="98" t="s">
        <v>423</v>
      </c>
      <c r="C7" s="266"/>
      <c r="D7" s="104" t="str">
        <f>HLOOKUP(D6,AUTO!$B$1:$AJ$2,2,FALSE)</f>
        <v>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v>
      </c>
      <c r="E7" s="95" t="str">
        <f>HLOOKUP(E6,AUTO!$B$1:$AJ$2,2,FALSE)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F7" s="95" t="str">
        <f>HLOOKUP(F6,AUTO!$B$1:$AJ$2,2,FALSE)</f>
        <v>Les organitzacions tenen un impacte sobre les comunitats on operen, tant a través d'impactes físics com a través de la interacció amb els membres d'aquestes comunitats que treballen a l'empresa. Per tant, és fonamental establir relacions sòlides i respectuoses envers les comunitats afectades a través d'un diàleg que permeti comprendre i abordar els impactes negatius generats per les operacions. Algunes eines que es poden utilitzar per mantenir relacions efectives amb les comunitats inclouen la realització de reunions periòdiques amb representants de la comunitat, la incorporació de membres de la societat a l'empresa i el manteniment d'una comunicació constant amb organitzacions locals.</v>
      </c>
      <c r="H7" s="73"/>
      <c r="I7" s="73"/>
    </row>
    <row r="8" spans="1:40" ht="150.65" customHeight="1">
      <c r="B8" s="98" t="s">
        <v>456</v>
      </c>
      <c r="C8" s="267"/>
      <c r="D8" s="120" t="s">
        <v>703</v>
      </c>
      <c r="E8" s="120" t="s">
        <v>1206</v>
      </c>
      <c r="F8" s="120" t="s">
        <v>704</v>
      </c>
    </row>
    <row r="9" spans="1:40" ht="50.15" customHeight="1">
      <c r="B9" s="99"/>
      <c r="C9" s="268" t="s">
        <v>383</v>
      </c>
      <c r="D9" s="106" t="s">
        <v>384</v>
      </c>
      <c r="E9" s="171" t="s">
        <v>387</v>
      </c>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 xml:space="preserve">La gestió de riscos sistèmics s'enfoca a la contribució d'una empresa pel que fa als riscos sistèmics que amenacen els sistemes econòmics, socials, ambientals i tecnològics dels quals la societat depèn. Exemples d'aquests riscos inclouen el consum excessiu d'aigua per part d'una empresa que opera en una zona que ja pateix estrès hídric. Per millorar la seva gestió de la sostenibilitat, l'organització pot avaluar els seus impactes i aplicar plans i mesures de mitigació, entre altres accions.
</v>
      </c>
    </row>
    <row r="11" spans="1:40" ht="150" customHeight="1">
      <c r="B11" s="98" t="s">
        <v>456</v>
      </c>
      <c r="C11" s="266"/>
      <c r="D11" s="95"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2" t="s">
        <v>705</v>
      </c>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556</v>
      </c>
      <c r="O16" s="24"/>
      <c r="Q16"/>
    </row>
    <row r="17" spans="1:17" ht="75" customHeight="1">
      <c r="B17" s="248" t="s">
        <v>1396</v>
      </c>
      <c r="C17" s="256" t="s">
        <v>551</v>
      </c>
      <c r="D17" s="248" t="s">
        <v>557</v>
      </c>
      <c r="E17" s="111" t="s">
        <v>558</v>
      </c>
      <c r="O17" s="24"/>
      <c r="Q17"/>
    </row>
    <row r="18" spans="1:17" ht="75" customHeight="1">
      <c r="B18" s="248"/>
      <c r="C18" s="258"/>
      <c r="D18" s="248"/>
      <c r="E18" s="112" t="s">
        <v>559</v>
      </c>
      <c r="O18" s="24"/>
      <c r="Q18"/>
    </row>
    <row r="19" spans="1:17" ht="57.65" customHeight="1">
      <c r="B19" s="253" t="s">
        <v>560</v>
      </c>
      <c r="C19" s="256" t="s">
        <v>551</v>
      </c>
      <c r="D19" s="253" t="s">
        <v>861</v>
      </c>
      <c r="E19" s="112" t="s">
        <v>561</v>
      </c>
      <c r="P19"/>
      <c r="Q19"/>
    </row>
    <row r="20" spans="1:17" ht="57.65" customHeight="1">
      <c r="B20" s="254"/>
      <c r="C20" s="257"/>
      <c r="D20" s="254"/>
      <c r="E20" s="112" t="s">
        <v>562</v>
      </c>
      <c r="P20"/>
      <c r="Q20"/>
    </row>
    <row r="21" spans="1:17" ht="72" customHeight="1">
      <c r="B21" s="255"/>
      <c r="C21" s="258"/>
      <c r="D21" s="255"/>
      <c r="E21" s="112" t="s">
        <v>563</v>
      </c>
      <c r="P21"/>
      <c r="Q21"/>
    </row>
    <row r="22" spans="1:17" ht="86.5" customHeight="1">
      <c r="B22" s="253" t="s">
        <v>1370</v>
      </c>
      <c r="C22" s="256" t="s">
        <v>551</v>
      </c>
      <c r="D22" s="253" t="s">
        <v>675</v>
      </c>
      <c r="E22" s="174" t="s">
        <v>676</v>
      </c>
      <c r="O22" s="72"/>
      <c r="P22" s="72"/>
      <c r="Q22"/>
    </row>
    <row r="23" spans="1:17" ht="60" customHeight="1">
      <c r="B23" s="254"/>
      <c r="C23" s="257"/>
      <c r="D23" s="254"/>
      <c r="E23" s="285" t="s">
        <v>582</v>
      </c>
      <c r="P23"/>
      <c r="Q23"/>
    </row>
    <row r="24" spans="1:17" ht="32.5" customHeight="1">
      <c r="B24" s="255"/>
      <c r="C24" s="258"/>
      <c r="D24" s="255"/>
      <c r="E24" s="285"/>
      <c r="P24"/>
      <c r="Q24"/>
    </row>
    <row r="25" spans="1:17" ht="150" customHeight="1">
      <c r="B25" s="117" t="s">
        <v>706</v>
      </c>
      <c r="C25" s="118" t="s">
        <v>551</v>
      </c>
      <c r="D25" s="103" t="s">
        <v>1038</v>
      </c>
      <c r="E25" s="174" t="s">
        <v>566</v>
      </c>
      <c r="P25"/>
      <c r="Q25"/>
    </row>
    <row r="26" spans="1:17" ht="150" customHeight="1">
      <c r="A26" s="80"/>
      <c r="B26" s="117" t="s">
        <v>1374</v>
      </c>
      <c r="C26" s="119" t="s">
        <v>1375</v>
      </c>
      <c r="D26" s="117" t="s">
        <v>707</v>
      </c>
      <c r="E26" s="111" t="s">
        <v>574</v>
      </c>
      <c r="G26" s="140"/>
      <c r="H26" s="140"/>
      <c r="I26" s="140"/>
      <c r="L26" s="127"/>
      <c r="M26" s="127"/>
      <c r="N26" s="127"/>
      <c r="O26" s="114"/>
      <c r="P26" s="127"/>
      <c r="Q26"/>
    </row>
    <row r="27" spans="1:17" ht="92.5" customHeight="1">
      <c r="B27" s="248" t="s">
        <v>1315</v>
      </c>
      <c r="C27" s="259" t="s">
        <v>551</v>
      </c>
      <c r="D27" s="248" t="s">
        <v>1352</v>
      </c>
      <c r="E27" s="174" t="s">
        <v>1297</v>
      </c>
      <c r="L27" s="128"/>
      <c r="M27" s="72"/>
      <c r="N27" s="128"/>
      <c r="O27" s="128"/>
      <c r="Q27"/>
    </row>
    <row r="28" spans="1:17" ht="82.5" customHeight="1">
      <c r="B28" s="248"/>
      <c r="C28" s="260"/>
      <c r="D28" s="248"/>
      <c r="E28" s="174" t="s">
        <v>580</v>
      </c>
      <c r="L28" s="128"/>
      <c r="M28" s="72"/>
      <c r="N28" s="128"/>
      <c r="O28" s="128"/>
      <c r="Q28"/>
    </row>
    <row r="29" spans="1:17" ht="150" customHeight="1">
      <c r="A29" s="76"/>
      <c r="B29" s="150" t="s">
        <v>1183</v>
      </c>
      <c r="C29" s="161" t="s">
        <v>551</v>
      </c>
      <c r="D29" s="150" t="s">
        <v>1227</v>
      </c>
      <c r="E29" s="221" t="s">
        <v>643</v>
      </c>
      <c r="P29"/>
      <c r="Q29"/>
    </row>
    <row r="30" spans="1:17" ht="150" customHeight="1">
      <c r="A30" s="76"/>
      <c r="B30" s="150" t="s">
        <v>585</v>
      </c>
      <c r="C30" s="161" t="s">
        <v>551</v>
      </c>
      <c r="D30" s="150" t="s">
        <v>1229</v>
      </c>
      <c r="E30" s="216" t="s">
        <v>586</v>
      </c>
      <c r="P30"/>
      <c r="Q30"/>
    </row>
    <row r="31" spans="1:17">
      <c r="A31" s="76"/>
      <c r="O31" s="72"/>
      <c r="Q31"/>
    </row>
    <row r="32" spans="1:17" ht="13" customHeight="1">
      <c r="A32" s="73"/>
      <c r="O32" s="24"/>
      <c r="Q32"/>
    </row>
    <row r="33" spans="1:17" ht="50.15" customHeight="1">
      <c r="A33" s="73"/>
      <c r="B33" s="250" t="s">
        <v>708</v>
      </c>
      <c r="C33" s="251"/>
      <c r="D33" s="251"/>
      <c r="E33" s="252"/>
      <c r="P33"/>
      <c r="Q33"/>
    </row>
    <row r="34" spans="1:17" ht="50.15" customHeight="1">
      <c r="A34" s="77"/>
      <c r="B34" s="197" t="s">
        <v>464</v>
      </c>
      <c r="C34" s="197" t="s">
        <v>548</v>
      </c>
      <c r="D34" s="197" t="s">
        <v>423</v>
      </c>
      <c r="E34" s="197" t="s">
        <v>634</v>
      </c>
      <c r="P34"/>
      <c r="Q34"/>
    </row>
    <row r="35" spans="1:17" ht="61.5" customHeight="1">
      <c r="A35" s="76"/>
      <c r="B35" s="286" t="s">
        <v>709</v>
      </c>
      <c r="C35" s="263" t="s">
        <v>1397</v>
      </c>
      <c r="D35" s="253" t="s">
        <v>1398</v>
      </c>
      <c r="E35" s="112" t="s">
        <v>710</v>
      </c>
      <c r="P35"/>
      <c r="Q35"/>
    </row>
    <row r="36" spans="1:17" ht="86.15" customHeight="1">
      <c r="A36" s="76"/>
      <c r="B36" s="287"/>
      <c r="C36" s="265"/>
      <c r="D36" s="255"/>
      <c r="E36" s="112" t="s">
        <v>711</v>
      </c>
      <c r="P36"/>
      <c r="Q36"/>
    </row>
    <row r="37" spans="1:17" ht="75" customHeight="1">
      <c r="A37" s="76"/>
      <c r="B37" s="286" t="s">
        <v>709</v>
      </c>
      <c r="C37" s="263" t="s">
        <v>1399</v>
      </c>
      <c r="D37" s="253" t="s">
        <v>1400</v>
      </c>
      <c r="E37" s="112" t="s">
        <v>710</v>
      </c>
      <c r="P37"/>
      <c r="Q37"/>
    </row>
    <row r="38" spans="1:17" ht="75" customHeight="1">
      <c r="A38" s="76"/>
      <c r="B38" s="287"/>
      <c r="C38" s="265"/>
      <c r="D38" s="255"/>
      <c r="E38" s="112" t="s">
        <v>711</v>
      </c>
      <c r="P38"/>
      <c r="Q38"/>
    </row>
    <row r="39" spans="1:17" ht="150" customHeight="1">
      <c r="A39" s="70"/>
      <c r="B39" s="103" t="s">
        <v>1402</v>
      </c>
      <c r="C39" s="119" t="s">
        <v>1401</v>
      </c>
      <c r="D39" s="117" t="s">
        <v>1403</v>
      </c>
      <c r="E39" s="112" t="s">
        <v>712</v>
      </c>
      <c r="P39"/>
      <c r="Q39"/>
    </row>
    <row r="40" spans="1:17" ht="160.5" customHeight="1">
      <c r="B40" s="188" t="s">
        <v>713</v>
      </c>
      <c r="C40" s="119" t="s">
        <v>1401</v>
      </c>
      <c r="D40" s="103" t="s">
        <v>1404</v>
      </c>
      <c r="E40" s="112" t="s">
        <v>714</v>
      </c>
      <c r="P40"/>
      <c r="Q40"/>
    </row>
    <row r="41" spans="1:17" ht="100" customHeight="1">
      <c r="B41" s="253" t="s">
        <v>1406</v>
      </c>
      <c r="C41" s="256" t="s">
        <v>551</v>
      </c>
      <c r="D41" s="253" t="s">
        <v>1405</v>
      </c>
      <c r="E41" s="112" t="s">
        <v>1307</v>
      </c>
      <c r="P41"/>
      <c r="Q41"/>
    </row>
    <row r="42" spans="1:17" ht="100" customHeight="1">
      <c r="B42" s="255"/>
      <c r="C42" s="258"/>
      <c r="D42" s="255"/>
      <c r="E42" s="174" t="s">
        <v>715</v>
      </c>
      <c r="G42" s="73"/>
      <c r="H42" s="73"/>
      <c r="I42" s="73"/>
      <c r="P42"/>
      <c r="Q42"/>
    </row>
    <row r="43" spans="1:17" ht="80" customHeight="1">
      <c r="B43" s="253" t="s">
        <v>1367</v>
      </c>
      <c r="C43" s="263" t="s">
        <v>1401</v>
      </c>
      <c r="D43" s="253" t="s">
        <v>716</v>
      </c>
      <c r="E43" s="174" t="s">
        <v>717</v>
      </c>
      <c r="P43"/>
      <c r="Q43"/>
    </row>
    <row r="44" spans="1:17" ht="80" customHeight="1">
      <c r="B44" s="270"/>
      <c r="C44" s="258"/>
      <c r="D44" s="255"/>
      <c r="E44" s="174" t="s">
        <v>718</v>
      </c>
      <c r="P44"/>
      <c r="Q44"/>
    </row>
    <row r="45" spans="1:17" ht="151" customHeight="1">
      <c r="B45" s="150" t="s">
        <v>1407</v>
      </c>
      <c r="C45" s="118" t="s">
        <v>551</v>
      </c>
      <c r="D45" s="150" t="s">
        <v>1408</v>
      </c>
      <c r="E45" s="112" t="s">
        <v>719</v>
      </c>
      <c r="P45"/>
      <c r="Q45"/>
    </row>
    <row r="46" spans="1:17" ht="150" customHeight="1">
      <c r="B46" s="150" t="s">
        <v>1409</v>
      </c>
      <c r="C46" s="161" t="s">
        <v>551</v>
      </c>
      <c r="D46" s="150" t="s">
        <v>1238</v>
      </c>
      <c r="E46" s="220" t="s">
        <v>720</v>
      </c>
      <c r="F46" s="214"/>
      <c r="P46"/>
      <c r="Q46"/>
    </row>
    <row r="47" spans="1:17" ht="139.5" customHeight="1">
      <c r="B47" s="150" t="s">
        <v>1239</v>
      </c>
      <c r="C47" s="161" t="s">
        <v>551</v>
      </c>
      <c r="D47" s="150" t="s">
        <v>1330</v>
      </c>
      <c r="E47" s="216" t="s">
        <v>1240</v>
      </c>
      <c r="F47" s="213"/>
      <c r="P47"/>
      <c r="Q47"/>
    </row>
    <row r="48" spans="1:17">
      <c r="P48"/>
      <c r="Q48"/>
    </row>
    <row r="49" spans="16:17">
      <c r="P49"/>
      <c r="Q49"/>
    </row>
    <row r="50" spans="16:17">
      <c r="P50"/>
      <c r="Q50"/>
    </row>
    <row r="51" spans="16:17">
      <c r="P51"/>
      <c r="Q51"/>
    </row>
    <row r="52" spans="16:17">
      <c r="P52"/>
      <c r="Q52"/>
    </row>
    <row r="53" spans="16:17">
      <c r="P53"/>
      <c r="Q53"/>
    </row>
    <row r="54" spans="16:17">
      <c r="P54"/>
      <c r="Q54"/>
    </row>
    <row r="55" spans="16:17">
      <c r="P55"/>
      <c r="Q55"/>
    </row>
    <row r="56" spans="16:17">
      <c r="P56"/>
      <c r="Q56"/>
    </row>
    <row r="57" spans="16:17">
      <c r="P57"/>
      <c r="Q57"/>
    </row>
    <row r="58" spans="16:17">
      <c r="P58"/>
      <c r="Q58"/>
    </row>
    <row r="59" spans="16:17">
      <c r="P59"/>
      <c r="Q59"/>
    </row>
    <row r="60" spans="16:17">
      <c r="P60"/>
      <c r="Q60"/>
    </row>
    <row r="61" spans="16:17">
      <c r="P61"/>
      <c r="Q61"/>
    </row>
    <row r="62" spans="16:17">
      <c r="P62"/>
      <c r="Q62"/>
    </row>
    <row r="63" spans="16:17">
      <c r="P63"/>
      <c r="Q63"/>
    </row>
    <row r="64" spans="16:17">
      <c r="P64"/>
      <c r="Q64"/>
    </row>
    <row r="65" spans="16:17">
      <c r="P65"/>
      <c r="Q65"/>
    </row>
    <row r="66" spans="16:17">
      <c r="P66"/>
      <c r="Q66"/>
    </row>
    <row r="67" spans="16:17">
      <c r="P67"/>
      <c r="Q67"/>
    </row>
    <row r="68" spans="16:17">
      <c r="P68"/>
      <c r="Q68"/>
    </row>
    <row r="69" spans="16:17">
      <c r="P69"/>
      <c r="Q69"/>
    </row>
    <row r="70" spans="16:17">
      <c r="P70"/>
      <c r="Q70"/>
    </row>
    <row r="71" spans="16:17">
      <c r="P71"/>
      <c r="Q71"/>
    </row>
    <row r="72" spans="16:17">
      <c r="P72"/>
      <c r="Q72"/>
    </row>
    <row r="73" spans="16:17">
      <c r="P73"/>
      <c r="Q73"/>
    </row>
    <row r="74" spans="16:17">
      <c r="P74"/>
      <c r="Q74"/>
    </row>
    <row r="75" spans="16:17">
      <c r="P75"/>
      <c r="Q75"/>
    </row>
    <row r="76" spans="16:17">
      <c r="P76"/>
      <c r="Q76"/>
    </row>
    <row r="77" spans="16:17">
      <c r="P77"/>
      <c r="Q77"/>
    </row>
    <row r="78" spans="16:17">
      <c r="P78"/>
      <c r="Q78"/>
    </row>
    <row r="79" spans="16:17">
      <c r="P79"/>
      <c r="Q79"/>
    </row>
    <row r="80" spans="16:17">
      <c r="P80"/>
      <c r="Q80"/>
    </row>
    <row r="81" spans="16:17">
      <c r="P81"/>
      <c r="Q81"/>
    </row>
  </sheetData>
  <mergeCells count="30">
    <mergeCell ref="B41:B42"/>
    <mergeCell ref="C41:C42"/>
    <mergeCell ref="D41:D42"/>
    <mergeCell ref="E23:E24"/>
    <mergeCell ref="D19:D21"/>
    <mergeCell ref="B35:B36"/>
    <mergeCell ref="C35:C36"/>
    <mergeCell ref="D35:D36"/>
    <mergeCell ref="B37:B38"/>
    <mergeCell ref="C37:C38"/>
    <mergeCell ref="D37:D38"/>
    <mergeCell ref="D22:D24"/>
    <mergeCell ref="B22:B24"/>
    <mergeCell ref="C22:C24"/>
    <mergeCell ref="B43:B44"/>
    <mergeCell ref="D43:D44"/>
    <mergeCell ref="C43:C44"/>
    <mergeCell ref="B33:E33"/>
    <mergeCell ref="C4:C5"/>
    <mergeCell ref="B27:B28"/>
    <mergeCell ref="D27:D28"/>
    <mergeCell ref="C27:C28"/>
    <mergeCell ref="C6:C8"/>
    <mergeCell ref="C9:C11"/>
    <mergeCell ref="B17:B18"/>
    <mergeCell ref="D17:D18"/>
    <mergeCell ref="C17:C18"/>
    <mergeCell ref="B13:E13"/>
    <mergeCell ref="B19:B21"/>
    <mergeCell ref="C19:C21"/>
  </mergeCells>
  <conditionalFormatting sqref="A29:A33">
    <cfRule type="containsText" dxfId="711" priority="6" operator="containsText" text="No Aplica">
      <formula>NOT(ISERROR(SEARCH("No Aplica",A29)))</formula>
    </cfRule>
    <cfRule type="containsText" dxfId="710" priority="7" operator="containsText" text="Seleccionar">
      <formula>NOT(ISERROR(SEARCH("Seleccionar",A29)))</formula>
    </cfRule>
    <cfRule type="containsText" dxfId="709" priority="8" operator="containsText" text="Parcialmente Cumple">
      <formula>NOT(ISERROR(SEARCH("Parcialmente Cumple",A29)))</formula>
    </cfRule>
    <cfRule type="containsText" dxfId="708" priority="9" operator="containsText" text="No Cumple">
      <formula>NOT(ISERROR(SEARCH("No Cumple",A29)))</formula>
    </cfRule>
    <cfRule type="beginsWith" dxfId="707" priority="10" operator="beginsWith" text="Cumple">
      <formula>LEFT(A29,LEN("Cumple"))="Cumple"</formula>
    </cfRule>
  </conditionalFormatting>
  <conditionalFormatting sqref="C3:C11">
    <cfRule type="containsText" dxfId="706" priority="36" operator="containsText" text="No Aplica">
      <formula>NOT(ISERROR(SEARCH("No Aplica",C3)))</formula>
    </cfRule>
    <cfRule type="containsText" dxfId="705" priority="37" operator="containsText" text="Pendiente">
      <formula>NOT(ISERROR(SEARCH("Pendiente",C3)))</formula>
    </cfRule>
    <cfRule type="containsText" dxfId="704" priority="38" operator="containsText" text="Parcialmente Cumple">
      <formula>NOT(ISERROR(SEARCH("Parcialmente Cumple",C3)))</formula>
    </cfRule>
    <cfRule type="containsText" dxfId="703" priority="39" operator="containsText" text="No Cumple">
      <formula>NOT(ISERROR(SEARCH("No Cumple",C3)))</formula>
    </cfRule>
    <cfRule type="beginsWith" dxfId="702" priority="40" operator="beginsWith" text="Cumple">
      <formula>LEFT(C3,LEN("Cumple"))="Cumple"</formula>
    </cfRule>
  </conditionalFormatting>
  <conditionalFormatting sqref="C35 C37 C39">
    <cfRule type="containsText" dxfId="701" priority="131" operator="containsText" text="No Aplica">
      <formula>NOT(ISERROR(SEARCH("No Aplica",C35)))</formula>
    </cfRule>
    <cfRule type="containsText" dxfId="700" priority="132" operator="containsText" text="Seleccionar">
      <formula>NOT(ISERROR(SEARCH("Seleccionar",C35)))</formula>
    </cfRule>
    <cfRule type="containsText" dxfId="699" priority="133" operator="containsText" text="Parcialmente Cumple">
      <formula>NOT(ISERROR(SEARCH("Parcialmente Cumple",C35)))</formula>
    </cfRule>
    <cfRule type="containsText" dxfId="698" priority="134" operator="containsText" text="No Cumple">
      <formula>NOT(ISERROR(SEARCH("No Cumple",C35)))</formula>
    </cfRule>
    <cfRule type="beginsWith" dxfId="697" priority="135" operator="beginsWith" text="Cumple">
      <formula>LEFT(C35,LEN("Cumple"))="Cumple"</formula>
    </cfRule>
  </conditionalFormatting>
  <conditionalFormatting sqref="D14:D19">
    <cfRule type="containsText" dxfId="696" priority="21" operator="containsText" text="No Aplica">
      <formula>NOT(ISERROR(SEARCH("No Aplica",D14)))</formula>
    </cfRule>
    <cfRule type="containsText" dxfId="695" priority="22" operator="containsText" text="Pendiente">
      <formula>NOT(ISERROR(SEARCH("Pendiente",D14)))</formula>
    </cfRule>
    <cfRule type="containsText" dxfId="694" priority="23" operator="containsText" text="Parcialmente Cumple">
      <formula>NOT(ISERROR(SEARCH("Parcialmente Cumple",D14)))</formula>
    </cfRule>
    <cfRule type="containsText" dxfId="693" priority="24" operator="containsText" text="No Cumple">
      <formula>NOT(ISERROR(SEARCH("No Cumple",D14)))</formula>
    </cfRule>
    <cfRule type="beginsWith" dxfId="692" priority="25" operator="beginsWith" text="Cumple">
      <formula>LEFT(D14,LEN("Cumple"))="Cumple"</formula>
    </cfRule>
  </conditionalFormatting>
  <conditionalFormatting sqref="D25:D28">
    <cfRule type="containsText" dxfId="691" priority="46" operator="containsText" text="No Aplica">
      <formula>NOT(ISERROR(SEARCH("No Aplica",D25)))</formula>
    </cfRule>
    <cfRule type="containsText" dxfId="690" priority="47" operator="containsText" text="Pendiente">
      <formula>NOT(ISERROR(SEARCH("Pendiente",D25)))</formula>
    </cfRule>
    <cfRule type="containsText" dxfId="689" priority="48" operator="containsText" text="Parcialmente Cumple">
      <formula>NOT(ISERROR(SEARCH("Parcialmente Cumple",D25)))</formula>
    </cfRule>
    <cfRule type="containsText" dxfId="688" priority="49" operator="containsText" text="No Cumple">
      <formula>NOT(ISERROR(SEARCH("No Cumple",D25)))</formula>
    </cfRule>
    <cfRule type="beginsWith" dxfId="687" priority="50" operator="beginsWith" text="Cumple">
      <formula>LEFT(D25,LEN("Cumple"))="Cumple"</formula>
    </cfRule>
  </conditionalFormatting>
  <conditionalFormatting sqref="D34">
    <cfRule type="containsText" dxfId="686" priority="11" operator="containsText" text="No Aplica">
      <formula>NOT(ISERROR(SEARCH("No Aplica",D34)))</formula>
    </cfRule>
    <cfRule type="containsText" dxfId="685" priority="12" operator="containsText" text="Pendiente">
      <formula>NOT(ISERROR(SEARCH("Pendiente",D34)))</formula>
    </cfRule>
    <cfRule type="containsText" dxfId="684" priority="13" operator="containsText" text="Parcialmente Cumple">
      <formula>NOT(ISERROR(SEARCH("Parcialmente Cumple",D34)))</formula>
    </cfRule>
    <cfRule type="containsText" dxfId="683" priority="14" operator="containsText" text="No Cumple">
      <formula>NOT(ISERROR(SEARCH("No Cumple",D34)))</formula>
    </cfRule>
    <cfRule type="beginsWith" dxfId="682" priority="15" operator="beginsWith" text="Cumple">
      <formula>LEFT(D34,LEN("Cumple"))="Cumple"</formula>
    </cfRule>
  </conditionalFormatting>
  <conditionalFormatting sqref="E14">
    <cfRule type="containsText" dxfId="681" priority="26" operator="containsText" text="No Aplica">
      <formula>NOT(ISERROR(SEARCH("No Aplica",E14)))</formula>
    </cfRule>
    <cfRule type="containsText" dxfId="680" priority="27" operator="containsText" text="Seleccionar">
      <formula>NOT(ISERROR(SEARCH("Seleccionar",E14)))</formula>
    </cfRule>
    <cfRule type="containsText" dxfId="679" priority="28" operator="containsText" text="Parcialmente Cumple">
      <formula>NOT(ISERROR(SEARCH("Parcialmente Cumple",E14)))</formula>
    </cfRule>
    <cfRule type="containsText" dxfId="678" priority="29" operator="containsText" text="No Cumple">
      <formula>NOT(ISERROR(SEARCH("No Cumple",E14)))</formula>
    </cfRule>
    <cfRule type="beginsWith" dxfId="677" priority="30" operator="beginsWith" text="Cumple">
      <formula>LEFT(E14,LEN("Cumple"))="Cumple"</formula>
    </cfRule>
  </conditionalFormatting>
  <conditionalFormatting sqref="E34:E39">
    <cfRule type="containsText" dxfId="676" priority="16" operator="containsText" text="No Aplica">
      <formula>NOT(ISERROR(SEARCH("No Aplica",E34)))</formula>
    </cfRule>
    <cfRule type="containsText" dxfId="675" priority="17" operator="containsText" text="Seleccionar">
      <formula>NOT(ISERROR(SEARCH("Seleccionar",E34)))</formula>
    </cfRule>
    <cfRule type="containsText" dxfId="674" priority="18" operator="containsText" text="Parcialmente Cumple">
      <formula>NOT(ISERROR(SEARCH("Parcialmente Cumple",E34)))</formula>
    </cfRule>
    <cfRule type="containsText" dxfId="673" priority="19" operator="containsText" text="No Cumple">
      <formula>NOT(ISERROR(SEARCH("No Cumple",E34)))</formula>
    </cfRule>
    <cfRule type="beginsWith" dxfId="672" priority="20" operator="beginsWith" text="Cumple">
      <formula>LEFT(E34,LEN("Cumple"))="Cumple"</formula>
    </cfRule>
  </conditionalFormatting>
  <conditionalFormatting sqref="O26:P26">
    <cfRule type="containsText" dxfId="671" priority="191" operator="containsText" text="No Aplica">
      <formula>NOT(ISERROR(SEARCH("No Aplica",O26)))</formula>
    </cfRule>
    <cfRule type="containsText" dxfId="670" priority="192" operator="containsText" text="Seleccionar">
      <formula>NOT(ISERROR(SEARCH("Seleccionar",O26)))</formula>
    </cfRule>
    <cfRule type="containsText" dxfId="669" priority="193" operator="containsText" text="Parcialmente Cumple">
      <formula>NOT(ISERROR(SEARCH("Parcialmente Cumple",O26)))</formula>
    </cfRule>
    <cfRule type="containsText" dxfId="668" priority="194" operator="containsText" text="No Cumple">
      <formula>NOT(ISERROR(SEARCH("No Cumple",O26)))</formula>
    </cfRule>
    <cfRule type="beginsWith" dxfId="667" priority="195" operator="beginsWith" text="Cumple">
      <formula>LEFT(O26,LEN("Cumple"))="Cumple"</formula>
    </cfRule>
  </conditionalFormatting>
  <hyperlinks>
    <hyperlink ref="E42" r:id="rId1" display="Consulta el Plan de Acción para la economía Circular (UE)"/>
    <hyperlink ref="E35" r:id="rId2" display="https://eur-lex.europa.eu/legal-content/ES/TXT/PDF/?uri=CELEX:32020R0852"/>
    <hyperlink ref="E39" r:id="rId3" display="Consulta EC 2150/2002"/>
    <hyperlink ref="E37" r:id="rId4" display="https://eur-lex.europa.eu/legal-content/ES/TXT/PDF/?uri=CELEX:32020R0852"/>
    <hyperlink ref="E40" r:id="rId5" display="Consulta Ley 7/2022"/>
    <hyperlink ref="E45" r:id="rId6" display="Consulta información sobre la iniciativa Lean and Green"/>
    <hyperlink ref="E43" r:id="rId7" display="Consulta el documento de las mejores tecnologías disponibles para la incineración de residuos"/>
    <hyperlink ref="E16" r:id="rId8" display="Consulta información sobre ISO 9001"/>
    <hyperlink ref="E22" r:id="rId9" display="Consulta información sobre el GHG Protocol"/>
    <hyperlink ref="E18" r:id="rId10" display="Consulta información sobre ISO 14001"/>
    <hyperlink ref="E19" r:id="rId11" display="Consulta más información sobre el CSRD"/>
    <hyperlink ref="E20" r:id="rId12" display="Consulta ley 11/2018"/>
    <hyperlink ref="E21" r:id="rId13" display="Consulta más información sobre el marco GRI"/>
    <hyperlink ref="E25" r:id="rId14" display="Consulta el Documento de Referencia sobre las mejores tecnologías disponibles en términos de eficiencia energética"/>
    <hyperlink ref="E26" r:id="rId15" display="Consulta el Real Decreto 901/2020"/>
    <hyperlink ref="E27" r:id="rId16" display="Consulta ISO 20400:2017 sobre adquisición sostenible"/>
    <hyperlink ref="E17" r:id="rId17" display="Consulta informació sobre EMAS"/>
    <hyperlink ref="E28" r:id="rId18" display="Consulta información sobre las ecoetiquetas de la UE"/>
    <hyperlink ref="E15" r:id="rId19" display="Consulta més informació sobre el codi de conducta"/>
    <hyperlink ref="E36" r:id="rId20" display="Consulta els criteris tècnics de seleccióper la consideració de quan una activitat econòmica contribueix a la mitigació del canvi climàtic o a l'adaptació al mateix"/>
    <hyperlink ref="E38" r:id="rId21" display="Consulta els criteris tècnics de selecció per la consideració de quan una activitat econòmica contribueix a la mitigació o a l'adaptació al canvi climàtic"/>
    <hyperlink ref="E29" r:id="rId22" display="https://treball.gencat.cat/ca/ambits/seguretat_i_salut_laboral/ci_/pla-govern/"/>
    <hyperlink ref="E30" r:id="rId23" display="https://govern.cat/gov/pla-govern?eix=0&amp;ambit=1"/>
    <hyperlink ref="E46" r:id="rId24" display="https://residus.gencat.cat/ca/ambits_dactuacio/tipus_de_residu/residus_municipals/"/>
    <hyperlink ref="E47" r:id="rId25" display="https://residus.gencat.cat/ca/consultes_i_tramits_-_nou/normativa/"/>
    <hyperlink ref="E23" r:id="rId26" display="https://canviclimatic.gencat.cat/ca/oficina/index.html"/>
    <hyperlink ref="E41" r:id="rId27" display="Consulta informació sobre Catalunya Circular: l'Observatori d'economia circular"/>
  </hyperlinks>
  <pageMargins left="0.7" right="0.7" top="0.75" bottom="0.75" header="0.3" footer="0.3"/>
  <pageSetup paperSize="9" orientation="portrait" r:id="rId2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tabColor theme="9" tint="0.39997558519241921"/>
  </sheetPr>
  <dimension ref="A1:AN76"/>
  <sheetViews>
    <sheetView showGridLines="0" zoomScale="70" zoomScaleNormal="70" workbookViewId="0">
      <selection activeCell="D4" sqref="D4"/>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102" t="s">
        <v>1499</v>
      </c>
      <c r="E1" s="93" t="s">
        <v>721</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29" t="s">
        <v>416</v>
      </c>
      <c r="E3" s="129" t="s">
        <v>362</v>
      </c>
      <c r="F3" s="129" t="s">
        <v>358</v>
      </c>
      <c r="G3" s="129" t="s">
        <v>357</v>
      </c>
      <c r="H3" s="129" t="s">
        <v>360</v>
      </c>
      <c r="I3" s="130" t="s">
        <v>363</v>
      </c>
      <c r="J3" s="130" t="s">
        <v>359</v>
      </c>
      <c r="K3" s="209" t="s">
        <v>365</v>
      </c>
    </row>
    <row r="4" spans="1:40" ht="150" customHeight="1">
      <c r="B4" s="98" t="s">
        <v>423</v>
      </c>
      <c r="C4" s="289" t="s">
        <v>356</v>
      </c>
      <c r="D4" s="95" t="str">
        <f>HLOOKUP(D3,AUTO!$B$1:$AJ$2,2,FALSE)</f>
        <v>Les oportunitats de tecnologies/aplicacions sostenibles són rellevants per als sectors on hi ha tecnologies verdes o aplicacions sostenibles que es podrien implementar per afavorir la sostenibilitat de l'empresa. Per exemple, la instal·lació de capacitat de renovables en el sector de l'energia o les aplicacions de tecnologies verdes en la construcció de nous edificis per al sector de l'edificació són oportunitats importants per diferenciar-se de la competència en termes de sostenibilitat.</v>
      </c>
      <c r="E4" s="95" t="str">
        <f>HLOOKUP(E3,AUTO!$B$1:$AJ$2,2,FALSE)</f>
        <v>Aquesta categoria se centra en els impactes de les operacions o els actius d'una empresa sobre ecosistemes i la seva biodiversitat. Les activitats amb potencials impactes significatius són aquelles vinculades amb canvis en l'ús del sòl per a exploració/explotació de recursos naturals, construcció, agricultura extensiva, etc. Els impactes poden produir pèrdua de biodiversitat, destrucció d'hàbitats, deforestació i pèrdua de serveis ecosistèmics bàsics. Les empreses haurien d'avaluar les seves dependències i impactes sobre el capital natural (natura), mitigar els riscos associats i fomentar un impacte positiu en totes les fases de la cadena de valor de l'empresa.</v>
      </c>
      <c r="F4" s="95" t="str">
        <f>HLOOKUP(F3,AUTO!$B$1:$AJ$2,2,FALSE)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G4" s="95" t="str">
        <f>HLOOKUP(G3,AUTO!$B$1:$AJ$2,2,FALSE)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H4" s="95" t="str">
        <f>HLOOKUP(H3,AUTO!$B$1:$AJ$2,2,FALSE)</f>
        <v xml:space="preserve">La gestió sostenible de l'aigua tracta d'assegurar que el consum i ús d'aquesta aigua per part de l'empresa estiguin alineats amb la capacitat de recuperar-se de l'ecosistema i no generin impactes negatius. Les necessitats de consumir aigua estan lligades al sector i a la ubicació de la planta. És important destacar que les empreses amb operacions en zones amb estrès hídric caldrà que avaluïn com fer una gestió sostenible dels recursos hídrics. Això inclou reduir el consum d'aigua, millorar la captura i reutilització de les aigües grises i millorar el tractament d'aigües residuals, entre d'altres. </v>
      </c>
      <c r="I4" s="95" t="str">
        <f>HLOOKUP(I3,AUTO!$B$1:$AJ$2,2,FALSE)</f>
        <v>El disseny dels productes i els seus cicles de vida són molt importants per gestionar l'impacte mediambiental de l'empresa. L'ecodisseny pot facilitar la reparació i el manteniment del producte i millorar-ne la tria dels materials més adequats i la reuitilització. Un correcte ecodisseny assegura una reducció dels impactes en tot el cicle de vida del producte. Les empreses que tenen en compte els impactes durant tot el cicle de vida permeten reduir l'impacte total del producte o servei en l'ús de materials, disseny industrial, producció i gestió de residus. D'aquesta manera, les empreses s'adapten als esquemes de responsabilitat ampliada del productor o futures normatives enfocades a la circularitat de l'economia.</v>
      </c>
      <c r="J4" s="115" t="str">
        <f>HLOOKUP(J3,AUTO!$B$1:$AJ$2,2,FALSE)</f>
        <v>Els impactes físics del canvi climàtic són aquells que experimenta, experimentarà o ja ha experimentat l'empresa vinculats a modificacions en variables climàtiques. Per exemple, la manca d'aigua a causa d'una sequera prolongada, danys provocats per inundacions causades per una tempesta especialment forta, pedregades o els costos en què l'empresa ha d'incórrer per adaptar-se a un clima canviant.</v>
      </c>
      <c r="K4" s="95" t="str">
        <f>HLOOKUP(K3,AUTO!$B$1:$AJ$2,2,FALSE)</f>
        <v xml:space="preserve">El subministrament de matèries primeres és un tema crucial per a la sostenibilitat d'aquells sectors molt intensius en materials. Aquí les empreses haurien d'avaluar oportunitats per a una adquisició de matèries de manera sostenible amb proveïdors confiables i certificats i estratègies de recuperació de material que es pugui recuperar com a matèria primera. Aquest tema pot ser important tant per a empreses que adquireixen matèries primeres com per a empreses que adquireixen prefabricats o productes. Un exemple és la cadena de subministrament d'empreses alimentàries, on és obligatori poder demostrar que el producte utilitzat no prové de zones amb alta deforestació. </v>
      </c>
    </row>
    <row r="5" spans="1:40" ht="150" customHeight="1">
      <c r="B5" s="98" t="s">
        <v>456</v>
      </c>
      <c r="C5" s="290"/>
      <c r="D5" s="120" t="s">
        <v>722</v>
      </c>
      <c r="E5" s="120" t="s">
        <v>723</v>
      </c>
      <c r="F5" s="120" t="s">
        <v>724</v>
      </c>
      <c r="G5" s="120" t="s">
        <v>725</v>
      </c>
      <c r="H5" s="120" t="s">
        <v>726</v>
      </c>
      <c r="I5" s="120" t="s">
        <v>727</v>
      </c>
      <c r="J5" s="131" t="s">
        <v>728</v>
      </c>
      <c r="K5" s="210" t="s">
        <v>729</v>
      </c>
    </row>
    <row r="6" spans="1:40" ht="50.15" customHeight="1">
      <c r="B6" s="110"/>
      <c r="C6" s="110"/>
      <c r="D6" s="138" t="s">
        <v>417</v>
      </c>
      <c r="E6" s="139" t="s">
        <v>376</v>
      </c>
      <c r="F6" s="132" t="s">
        <v>374</v>
      </c>
      <c r="H6" s="140"/>
    </row>
    <row r="7" spans="1:40" ht="150" customHeight="1">
      <c r="B7" s="98" t="s">
        <v>423</v>
      </c>
      <c r="C7" s="291" t="s">
        <v>369</v>
      </c>
      <c r="D7" s="95" t="str">
        <f>HLOOKUP(D6,AUTO!$B$1:$AJ$2,2,FALSE)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E7" s="115" t="str">
        <f>HLOOKUP(E6,AUTO!$B$1:$AJ$2,2,FALSE)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c r="F7" s="95" t="str">
        <f>HLOOKUP(F6,AUTO!$B$1:$AJ$2,2,FALSE)</f>
        <v>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v>
      </c>
      <c r="H7" s="73"/>
    </row>
    <row r="8" spans="1:40" ht="182.15" customHeight="1">
      <c r="B8" s="98" t="s">
        <v>456</v>
      </c>
      <c r="C8" s="290"/>
      <c r="D8" s="120" t="s">
        <v>730</v>
      </c>
      <c r="E8" s="131" t="s">
        <v>1196</v>
      </c>
      <c r="F8" s="120" t="s">
        <v>731</v>
      </c>
      <c r="H8" s="136"/>
    </row>
    <row r="9" spans="1:40" ht="50.15" customHeight="1">
      <c r="B9" s="110"/>
      <c r="C9" s="110"/>
      <c r="D9" s="141" t="s">
        <v>384</v>
      </c>
      <c r="E9" s="189" t="s">
        <v>389</v>
      </c>
      <c r="F9" s="142" t="s">
        <v>422</v>
      </c>
    </row>
    <row r="10" spans="1:40" ht="150" customHeight="1">
      <c r="B10" s="98" t="s">
        <v>423</v>
      </c>
      <c r="C10" s="292" t="s">
        <v>383</v>
      </c>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 xml:space="preserve">La resiliència del model de negoci fa referència a la capacitat de l'empresa d'adaptar-se als canvis relacionats amb les transicions ASG (mediambientals, socials i de bon govern). Això inclou la capacitat de mitigar riscos (com els reputacionals, legals i físics) i aprofitar les oportunitats que presenten els possibles nous mercats i productes i la diferenciació basada en la sostenibilitat. Les empreses més resilients compten amb sistemes de gestió de la sostenibilitat que identifiquen, avaluen i responen als riscos i les oportunitats potencials.
</v>
      </c>
      <c r="F10" s="95" t="str">
        <f>HLOOKUP(F9,AUTO!$B$1:$AJ$2,2,FALSE)</f>
        <v xml:space="preserve">La gestió de riscos d'incidents crítics és rellevant per a organitzacions que duen a terme activitats o operacions perilloses. En aquest context, les organitzacions que identifiquen, comprenen, prevenen i minimitzen els riscos d'incidents que podrien ocórrer aconseguiran un millor acompliment en termes de sostenibilitat en la seva governança corporativa. Les empreses poden millorar el seu rendiment mitjançant la promoció d'una cultura de seguretat, la implementació de tecnologies que ajudin en la gestió de riscos, la realització d'anàlisi de probabilitat i impacte dels riscos i l'aplicació de mesures per mitigar aquests riscos, entre altres accions.
</v>
      </c>
    </row>
    <row r="11" spans="1:40" ht="175" customHeight="1">
      <c r="B11" s="98" t="s">
        <v>456</v>
      </c>
      <c r="C11" s="293"/>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732</v>
      </c>
      <c r="F11" s="192" t="s">
        <v>733</v>
      </c>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556</v>
      </c>
      <c r="O16" s="24"/>
      <c r="Q16"/>
    </row>
    <row r="17" spans="1:17" ht="75" customHeight="1">
      <c r="B17" s="248" t="s">
        <v>1345</v>
      </c>
      <c r="C17" s="256" t="s">
        <v>551</v>
      </c>
      <c r="D17" s="248" t="s">
        <v>557</v>
      </c>
      <c r="E17" s="111" t="s">
        <v>558</v>
      </c>
      <c r="O17" s="24"/>
      <c r="Q17"/>
    </row>
    <row r="18" spans="1:17" ht="75" customHeight="1">
      <c r="B18" s="248"/>
      <c r="C18" s="258"/>
      <c r="D18" s="248"/>
      <c r="E18" s="112" t="s">
        <v>639</v>
      </c>
      <c r="O18" s="24"/>
      <c r="Q18"/>
    </row>
    <row r="19" spans="1:17" ht="50.15" customHeight="1">
      <c r="B19" s="253" t="s">
        <v>560</v>
      </c>
      <c r="C19" s="256" t="s">
        <v>551</v>
      </c>
      <c r="D19" s="253" t="s">
        <v>861</v>
      </c>
      <c r="E19" s="112" t="s">
        <v>561</v>
      </c>
      <c r="P19"/>
      <c r="Q19"/>
    </row>
    <row r="20" spans="1:17" ht="50.15" customHeight="1">
      <c r="B20" s="254"/>
      <c r="C20" s="257"/>
      <c r="D20" s="254"/>
      <c r="E20" s="112" t="s">
        <v>562</v>
      </c>
      <c r="P20"/>
      <c r="Q20"/>
    </row>
    <row r="21" spans="1:17" ht="90" customHeight="1">
      <c r="B21" s="255"/>
      <c r="C21" s="258"/>
      <c r="D21" s="255"/>
      <c r="E21" s="112" t="s">
        <v>563</v>
      </c>
      <c r="P21"/>
      <c r="Q21"/>
    </row>
    <row r="22" spans="1:17" ht="86.5" customHeight="1">
      <c r="B22" s="253" t="s">
        <v>1370</v>
      </c>
      <c r="C22" s="256" t="s">
        <v>551</v>
      </c>
      <c r="D22" s="253" t="s">
        <v>675</v>
      </c>
      <c r="E22" s="174" t="s">
        <v>676</v>
      </c>
      <c r="O22" s="72"/>
      <c r="P22" s="72"/>
      <c r="Q22"/>
    </row>
    <row r="23" spans="1:17" ht="60" customHeight="1">
      <c r="B23" s="254"/>
      <c r="C23" s="257"/>
      <c r="D23" s="254"/>
      <c r="E23" s="285" t="s">
        <v>582</v>
      </c>
      <c r="P23"/>
      <c r="Q23"/>
    </row>
    <row r="24" spans="1:17" ht="32.5" customHeight="1">
      <c r="B24" s="255"/>
      <c r="C24" s="258"/>
      <c r="D24" s="255"/>
      <c r="E24" s="285"/>
      <c r="P24"/>
      <c r="Q24"/>
    </row>
    <row r="25" spans="1:17" ht="135" customHeight="1">
      <c r="B25" s="117" t="s">
        <v>564</v>
      </c>
      <c r="C25" s="118" t="s">
        <v>551</v>
      </c>
      <c r="D25" s="103" t="s">
        <v>1038</v>
      </c>
      <c r="E25" s="174" t="s">
        <v>566</v>
      </c>
      <c r="P25"/>
      <c r="Q25"/>
    </row>
    <row r="26" spans="1:17" ht="150" customHeight="1">
      <c r="B26" s="117" t="s">
        <v>567</v>
      </c>
      <c r="C26" s="118" t="s">
        <v>551</v>
      </c>
      <c r="D26" s="117" t="s">
        <v>568</v>
      </c>
      <c r="E26" s="112" t="s">
        <v>569</v>
      </c>
      <c r="O26" s="24"/>
      <c r="Q26"/>
    </row>
    <row r="27" spans="1:17" ht="150" customHeight="1">
      <c r="A27" s="78"/>
      <c r="B27" s="117" t="s">
        <v>570</v>
      </c>
      <c r="C27" s="118" t="s">
        <v>551</v>
      </c>
      <c r="D27" s="117" t="s">
        <v>862</v>
      </c>
      <c r="E27" s="112" t="s">
        <v>641</v>
      </c>
      <c r="P27"/>
      <c r="Q27"/>
    </row>
    <row r="28" spans="1:17" ht="150" customHeight="1">
      <c r="A28" s="78"/>
      <c r="B28" s="117" t="s">
        <v>1374</v>
      </c>
      <c r="C28" s="119" t="s">
        <v>1375</v>
      </c>
      <c r="D28" s="117" t="s">
        <v>707</v>
      </c>
      <c r="E28" s="111" t="s">
        <v>574</v>
      </c>
      <c r="G28" s="86"/>
      <c r="H28" s="86"/>
      <c r="I28" s="86"/>
      <c r="J28" s="86"/>
      <c r="P28"/>
      <c r="Q28"/>
    </row>
    <row r="29" spans="1:17" ht="110.5" customHeight="1">
      <c r="B29" s="274" t="s">
        <v>1331</v>
      </c>
      <c r="C29" s="276" t="s">
        <v>551</v>
      </c>
      <c r="D29" s="274" t="s">
        <v>1340</v>
      </c>
      <c r="E29" s="174" t="s">
        <v>575</v>
      </c>
      <c r="G29" s="140"/>
      <c r="H29" s="140"/>
      <c r="P29"/>
      <c r="Q29"/>
    </row>
    <row r="30" spans="1:17" ht="132" customHeight="1">
      <c r="B30" s="275"/>
      <c r="C30" s="272"/>
      <c r="D30" s="288"/>
      <c r="E30" s="227" t="s">
        <v>1328</v>
      </c>
      <c r="G30" s="140"/>
      <c r="H30" s="140"/>
      <c r="P30"/>
      <c r="Q30"/>
    </row>
    <row r="31" spans="1:17" ht="95.15" customHeight="1">
      <c r="B31" s="248" t="s">
        <v>1315</v>
      </c>
      <c r="C31" s="294" t="s">
        <v>551</v>
      </c>
      <c r="D31" s="248" t="s">
        <v>1410</v>
      </c>
      <c r="E31" s="174" t="s">
        <v>1298</v>
      </c>
      <c r="G31" s="140"/>
      <c r="H31" s="140"/>
      <c r="P31"/>
      <c r="Q31"/>
    </row>
    <row r="32" spans="1:17" ht="95.15" customHeight="1">
      <c r="B32" s="248"/>
      <c r="C32" s="294"/>
      <c r="D32" s="248"/>
      <c r="E32" s="174" t="s">
        <v>580</v>
      </c>
      <c r="G32" s="140"/>
      <c r="H32" s="140"/>
      <c r="P32"/>
      <c r="Q32"/>
    </row>
    <row r="33" spans="1:17" ht="150" customHeight="1">
      <c r="A33" s="76"/>
      <c r="B33" s="150" t="s">
        <v>1183</v>
      </c>
      <c r="C33" s="161" t="s">
        <v>551</v>
      </c>
      <c r="D33" s="150" t="s">
        <v>1227</v>
      </c>
      <c r="E33" s="221" t="s">
        <v>643</v>
      </c>
      <c r="P33"/>
      <c r="Q33"/>
    </row>
    <row r="34" spans="1:17" ht="150" customHeight="1">
      <c r="A34" s="76"/>
      <c r="B34" s="150" t="s">
        <v>585</v>
      </c>
      <c r="C34" s="161" t="s">
        <v>551</v>
      </c>
      <c r="D34" s="150" t="s">
        <v>1229</v>
      </c>
      <c r="E34" s="216" t="s">
        <v>586</v>
      </c>
      <c r="P34"/>
      <c r="Q34"/>
    </row>
    <row r="35" spans="1:17">
      <c r="A35" s="76"/>
      <c r="P35"/>
      <c r="Q35"/>
    </row>
    <row r="36" spans="1:17" ht="13" customHeight="1">
      <c r="A36" s="73"/>
      <c r="P36"/>
      <c r="Q36"/>
    </row>
    <row r="37" spans="1:17" ht="50.15" customHeight="1">
      <c r="A37" s="73"/>
      <c r="B37" s="250" t="s">
        <v>734</v>
      </c>
      <c r="C37" s="251"/>
      <c r="D37" s="251"/>
      <c r="E37" s="252"/>
      <c r="P37"/>
      <c r="Q37"/>
    </row>
    <row r="38" spans="1:17" ht="50.15" customHeight="1">
      <c r="A38" s="77"/>
      <c r="B38" s="197" t="s">
        <v>464</v>
      </c>
      <c r="C38" s="197" t="s">
        <v>548</v>
      </c>
      <c r="D38" s="197" t="s">
        <v>423</v>
      </c>
      <c r="E38" s="197" t="s">
        <v>634</v>
      </c>
      <c r="P38"/>
      <c r="Q38"/>
    </row>
    <row r="39" spans="1:17" ht="48.65" customHeight="1">
      <c r="A39" s="76"/>
      <c r="B39" s="263" t="s">
        <v>735</v>
      </c>
      <c r="C39" s="263" t="s">
        <v>1411</v>
      </c>
      <c r="D39" s="253" t="s">
        <v>737</v>
      </c>
      <c r="E39" s="112" t="s">
        <v>710</v>
      </c>
      <c r="P39"/>
      <c r="Q39"/>
    </row>
    <row r="40" spans="1:17" ht="71.150000000000006" customHeight="1">
      <c r="A40" s="76"/>
      <c r="B40" s="265"/>
      <c r="C40" s="265"/>
      <c r="D40" s="255"/>
      <c r="E40" s="112" t="s">
        <v>711</v>
      </c>
      <c r="P40"/>
      <c r="Q40"/>
    </row>
    <row r="41" spans="1:17" ht="58.5" customHeight="1">
      <c r="A41" s="76"/>
      <c r="B41" s="263" t="s">
        <v>735</v>
      </c>
      <c r="C41" s="253" t="s">
        <v>1412</v>
      </c>
      <c r="D41" s="253" t="s">
        <v>737</v>
      </c>
      <c r="E41" s="112" t="s">
        <v>710</v>
      </c>
      <c r="P41"/>
      <c r="Q41"/>
    </row>
    <row r="42" spans="1:17" ht="73.5" customHeight="1">
      <c r="A42" s="76"/>
      <c r="B42" s="265"/>
      <c r="C42" s="255"/>
      <c r="D42" s="255"/>
      <c r="E42" s="112" t="s">
        <v>711</v>
      </c>
      <c r="P42"/>
      <c r="Q42"/>
    </row>
    <row r="43" spans="1:17" ht="75" customHeight="1">
      <c r="A43" s="70"/>
      <c r="B43" s="263" t="s">
        <v>735</v>
      </c>
      <c r="C43" s="253" t="s">
        <v>1413</v>
      </c>
      <c r="D43" s="253" t="s">
        <v>737</v>
      </c>
      <c r="E43" s="112" t="s">
        <v>710</v>
      </c>
      <c r="P43"/>
      <c r="Q43"/>
    </row>
    <row r="44" spans="1:17" ht="75" customHeight="1">
      <c r="A44" s="70"/>
      <c r="B44" s="265"/>
      <c r="C44" s="255"/>
      <c r="D44" s="255"/>
      <c r="E44" s="112" t="s">
        <v>711</v>
      </c>
      <c r="P44"/>
      <c r="Q44"/>
    </row>
    <row r="45" spans="1:17" ht="50.15" customHeight="1">
      <c r="B45" s="248" t="s">
        <v>738</v>
      </c>
      <c r="C45" s="279" t="s">
        <v>1411</v>
      </c>
      <c r="D45" s="248" t="s">
        <v>1414</v>
      </c>
      <c r="E45" s="112" t="s">
        <v>739</v>
      </c>
      <c r="P45"/>
      <c r="Q45"/>
    </row>
    <row r="46" spans="1:17" ht="50.15" customHeight="1">
      <c r="B46" s="248"/>
      <c r="C46" s="279"/>
      <c r="D46" s="248"/>
      <c r="E46" s="112" t="s">
        <v>740</v>
      </c>
      <c r="P46"/>
      <c r="Q46"/>
    </row>
    <row r="47" spans="1:17" ht="50.15" customHeight="1">
      <c r="B47" s="248"/>
      <c r="C47" s="279"/>
      <c r="D47" s="248"/>
      <c r="E47" s="112" t="s">
        <v>741</v>
      </c>
      <c r="P47"/>
      <c r="Q47"/>
    </row>
    <row r="48" spans="1:17" ht="55" customHeight="1">
      <c r="A48" s="80"/>
      <c r="B48" s="248" t="s">
        <v>795</v>
      </c>
      <c r="C48" s="294" t="s">
        <v>551</v>
      </c>
      <c r="D48" s="248" t="s">
        <v>1310</v>
      </c>
      <c r="E48" s="112" t="s">
        <v>715</v>
      </c>
      <c r="G48" s="140"/>
      <c r="H48" s="140"/>
      <c r="I48" s="140"/>
      <c r="P48"/>
      <c r="Q48"/>
    </row>
    <row r="49" spans="2:17" ht="55" customHeight="1">
      <c r="B49" s="249"/>
      <c r="C49" s="273"/>
      <c r="D49" s="248"/>
      <c r="E49" s="112" t="s">
        <v>742</v>
      </c>
      <c r="G49" s="73"/>
      <c r="H49" s="73"/>
      <c r="I49" s="73"/>
      <c r="P49"/>
      <c r="Q49"/>
    </row>
    <row r="50" spans="2:17" ht="55" customHeight="1">
      <c r="B50" s="249"/>
      <c r="C50" s="273"/>
      <c r="D50" s="248"/>
      <c r="E50" s="223" t="s">
        <v>1307</v>
      </c>
      <c r="G50" s="73"/>
      <c r="H50" s="73"/>
      <c r="I50" s="73"/>
      <c r="P50"/>
      <c r="Q50"/>
    </row>
    <row r="51" spans="2:17" ht="55" customHeight="1">
      <c r="B51" s="249"/>
      <c r="C51" s="273"/>
      <c r="D51" s="248"/>
      <c r="E51" s="112" t="s">
        <v>743</v>
      </c>
      <c r="G51" s="136"/>
      <c r="H51" s="136"/>
      <c r="I51" s="136"/>
      <c r="P51"/>
      <c r="Q51"/>
    </row>
    <row r="52" spans="2:17" ht="163" customHeight="1">
      <c r="B52" s="150" t="s">
        <v>1415</v>
      </c>
      <c r="C52" s="118" t="s">
        <v>551</v>
      </c>
      <c r="D52" s="150" t="s">
        <v>744</v>
      </c>
      <c r="E52" s="112" t="s">
        <v>745</v>
      </c>
      <c r="P52"/>
      <c r="Q52"/>
    </row>
    <row r="53" spans="2:17" ht="150" customHeight="1">
      <c r="B53" s="150" t="s">
        <v>1416</v>
      </c>
      <c r="C53" s="219" t="s">
        <v>551</v>
      </c>
      <c r="D53" s="217" t="s">
        <v>1333</v>
      </c>
      <c r="E53" s="223" t="s">
        <v>1332</v>
      </c>
      <c r="P53"/>
      <c r="Q53"/>
    </row>
    <row r="54" spans="2:17" ht="75" customHeight="1">
      <c r="B54" s="253" t="s">
        <v>610</v>
      </c>
      <c r="C54" s="263" t="s">
        <v>551</v>
      </c>
      <c r="D54" s="253" t="s">
        <v>611</v>
      </c>
      <c r="E54" s="112" t="s">
        <v>746</v>
      </c>
      <c r="P54"/>
      <c r="Q54"/>
    </row>
    <row r="55" spans="2:17" ht="75" customHeight="1">
      <c r="B55" s="254"/>
      <c r="C55" s="264"/>
      <c r="D55" s="254"/>
      <c r="E55" s="174" t="s">
        <v>747</v>
      </c>
      <c r="P55"/>
      <c r="Q55"/>
    </row>
    <row r="56" spans="2:17" ht="150" customHeight="1">
      <c r="B56" s="150" t="s">
        <v>1417</v>
      </c>
      <c r="C56" s="161" t="s">
        <v>551</v>
      </c>
      <c r="D56" s="150" t="s">
        <v>1241</v>
      </c>
      <c r="E56" s="216" t="s">
        <v>748</v>
      </c>
      <c r="P56"/>
      <c r="Q56"/>
    </row>
    <row r="57" spans="2:17" ht="150" customHeight="1">
      <c r="B57" s="150" t="s">
        <v>1418</v>
      </c>
      <c r="C57" s="161" t="s">
        <v>551</v>
      </c>
      <c r="D57" s="150" t="s">
        <v>1243</v>
      </c>
      <c r="E57" s="216" t="s">
        <v>749</v>
      </c>
      <c r="P57"/>
      <c r="Q57"/>
    </row>
    <row r="58" spans="2:17" ht="150" customHeight="1">
      <c r="B58" s="150" t="s">
        <v>1186</v>
      </c>
      <c r="C58" s="161" t="s">
        <v>551</v>
      </c>
      <c r="D58" s="150" t="s">
        <v>1244</v>
      </c>
      <c r="E58" s="216" t="s">
        <v>750</v>
      </c>
      <c r="P58"/>
      <c r="Q58"/>
    </row>
    <row r="59" spans="2:17" ht="150" customHeight="1">
      <c r="B59" s="150" t="s">
        <v>1245</v>
      </c>
      <c r="C59" s="161" t="s">
        <v>551</v>
      </c>
      <c r="D59" s="150" t="s">
        <v>1246</v>
      </c>
      <c r="E59" s="220" t="s">
        <v>751</v>
      </c>
      <c r="F59" s="225"/>
      <c r="P59"/>
      <c r="Q59"/>
    </row>
    <row r="60" spans="2:17" ht="150" customHeight="1">
      <c r="B60" s="150" t="s">
        <v>752</v>
      </c>
      <c r="C60" s="161" t="s">
        <v>551</v>
      </c>
      <c r="D60" s="150" t="s">
        <v>1247</v>
      </c>
      <c r="E60" s="216" t="s">
        <v>753</v>
      </c>
      <c r="P60"/>
      <c r="Q60"/>
    </row>
    <row r="61" spans="2:17" ht="150" customHeight="1">
      <c r="B61" s="150" t="s">
        <v>754</v>
      </c>
      <c r="C61" s="161" t="s">
        <v>551</v>
      </c>
      <c r="D61" s="150" t="s">
        <v>755</v>
      </c>
      <c r="E61" s="216" t="s">
        <v>756</v>
      </c>
    </row>
    <row r="62" spans="2:17">
      <c r="P62"/>
      <c r="Q62"/>
    </row>
    <row r="63" spans="2:17">
      <c r="P63"/>
      <c r="Q63"/>
    </row>
    <row r="64" spans="2:17">
      <c r="P64"/>
      <c r="Q64"/>
    </row>
    <row r="65" spans="16:17">
      <c r="P65"/>
      <c r="Q65"/>
    </row>
    <row r="66" spans="16:17">
      <c r="P66"/>
      <c r="Q66"/>
    </row>
    <row r="67" spans="16:17">
      <c r="P67"/>
      <c r="Q67"/>
    </row>
    <row r="68" spans="16:17">
      <c r="P68"/>
      <c r="Q68"/>
    </row>
    <row r="69" spans="16:17">
      <c r="P69"/>
      <c r="Q69"/>
    </row>
    <row r="70" spans="16:17">
      <c r="P70"/>
      <c r="Q70"/>
    </row>
    <row r="71" spans="16:17">
      <c r="P71"/>
      <c r="Q71"/>
    </row>
    <row r="72" spans="16:17">
      <c r="P72"/>
      <c r="Q72"/>
    </row>
    <row r="73" spans="16:17">
      <c r="P73"/>
      <c r="Q73"/>
    </row>
    <row r="74" spans="16:17">
      <c r="P74"/>
      <c r="Q74"/>
    </row>
    <row r="75" spans="16:17">
      <c r="P75"/>
      <c r="Q75"/>
    </row>
    <row r="76" spans="16:17">
      <c r="P76"/>
      <c r="Q76"/>
    </row>
  </sheetData>
  <mergeCells count="39">
    <mergeCell ref="B45:B47"/>
    <mergeCell ref="B54:B55"/>
    <mergeCell ref="C54:C55"/>
    <mergeCell ref="D54:D55"/>
    <mergeCell ref="C31:C32"/>
    <mergeCell ref="B48:B51"/>
    <mergeCell ref="D48:D51"/>
    <mergeCell ref="C48:C51"/>
    <mergeCell ref="B39:B40"/>
    <mergeCell ref="C39:C40"/>
    <mergeCell ref="D39:D40"/>
    <mergeCell ref="B41:B42"/>
    <mergeCell ref="C41:C42"/>
    <mergeCell ref="D43:D44"/>
    <mergeCell ref="D45:D47"/>
    <mergeCell ref="C45:C47"/>
    <mergeCell ref="C4:C5"/>
    <mergeCell ref="C7:C8"/>
    <mergeCell ref="C10:C11"/>
    <mergeCell ref="B22:B24"/>
    <mergeCell ref="C22:C24"/>
    <mergeCell ref="B13:E13"/>
    <mergeCell ref="B19:B21"/>
    <mergeCell ref="C19:C21"/>
    <mergeCell ref="D19:D21"/>
    <mergeCell ref="B17:B18"/>
    <mergeCell ref="D17:D18"/>
    <mergeCell ref="C17:C18"/>
    <mergeCell ref="D41:D42"/>
    <mergeCell ref="B43:B44"/>
    <mergeCell ref="C43:C44"/>
    <mergeCell ref="E23:E24"/>
    <mergeCell ref="D22:D24"/>
    <mergeCell ref="B37:E37"/>
    <mergeCell ref="B31:B32"/>
    <mergeCell ref="D31:D32"/>
    <mergeCell ref="B29:B30"/>
    <mergeCell ref="C29:C30"/>
    <mergeCell ref="D29:D30"/>
  </mergeCells>
  <conditionalFormatting sqref="A33:A37">
    <cfRule type="containsText" dxfId="666" priority="1" operator="containsText" text="No Aplica">
      <formula>NOT(ISERROR(SEARCH("No Aplica",A33)))</formula>
    </cfRule>
    <cfRule type="containsText" dxfId="665" priority="2" operator="containsText" text="Seleccionar">
      <formula>NOT(ISERROR(SEARCH("Seleccionar",A33)))</formula>
    </cfRule>
    <cfRule type="containsText" dxfId="664" priority="3" operator="containsText" text="Parcialmente Cumple">
      <formula>NOT(ISERROR(SEARCH("Parcialmente Cumple",A33)))</formula>
    </cfRule>
    <cfRule type="containsText" dxfId="663" priority="4" operator="containsText" text="No Cumple">
      <formula>NOT(ISERROR(SEARCH("No Cumple",A33)))</formula>
    </cfRule>
    <cfRule type="beginsWith" dxfId="662" priority="5" operator="beginsWith" text="Cumple">
      <formula>LEFT(A33,LEN("Cumple"))="Cumple"</formula>
    </cfRule>
  </conditionalFormatting>
  <conditionalFormatting sqref="C3:C5 C7">
    <cfRule type="containsText" dxfId="661" priority="41" operator="containsText" text="No Aplica">
      <formula>NOT(ISERROR(SEARCH("No Aplica",C3)))</formula>
    </cfRule>
    <cfRule type="containsText" dxfId="660" priority="42" operator="containsText" text="Pendiente">
      <formula>NOT(ISERROR(SEARCH("Pendiente",C3)))</formula>
    </cfRule>
    <cfRule type="containsText" dxfId="659" priority="43" operator="containsText" text="Parcialmente Cumple">
      <formula>NOT(ISERROR(SEARCH("Parcialmente Cumple",C3)))</formula>
    </cfRule>
    <cfRule type="containsText" dxfId="658" priority="44" operator="containsText" text="No Cumple">
      <formula>NOT(ISERROR(SEARCH("No Cumple",C3)))</formula>
    </cfRule>
    <cfRule type="beginsWith" dxfId="657" priority="45" operator="beginsWith" text="Cumple">
      <formula>LEFT(C3,LEN("Cumple"))="Cumple"</formula>
    </cfRule>
  </conditionalFormatting>
  <conditionalFormatting sqref="D14:D19">
    <cfRule type="containsText" dxfId="656" priority="26" operator="containsText" text="No Aplica">
      <formula>NOT(ISERROR(SEARCH("No Aplica",D14)))</formula>
    </cfRule>
    <cfRule type="containsText" dxfId="655" priority="27" operator="containsText" text="Pendiente">
      <formula>NOT(ISERROR(SEARCH("Pendiente",D14)))</formula>
    </cfRule>
    <cfRule type="containsText" dxfId="654" priority="28" operator="containsText" text="Parcialmente Cumple">
      <formula>NOT(ISERROR(SEARCH("Parcialmente Cumple",D14)))</formula>
    </cfRule>
    <cfRule type="containsText" dxfId="653" priority="29" operator="containsText" text="No Cumple">
      <formula>NOT(ISERROR(SEARCH("No Cumple",D14)))</formula>
    </cfRule>
    <cfRule type="beginsWith" dxfId="652" priority="30" operator="beginsWith" text="Cumple">
      <formula>LEFT(D14,LEN("Cumple"))="Cumple"</formula>
    </cfRule>
  </conditionalFormatting>
  <conditionalFormatting sqref="D25:D28">
    <cfRule type="containsText" dxfId="651" priority="51" operator="containsText" text="No Aplica">
      <formula>NOT(ISERROR(SEARCH("No Aplica",D25)))</formula>
    </cfRule>
    <cfRule type="containsText" dxfId="650" priority="52" operator="containsText" text="Pendiente">
      <formula>NOT(ISERROR(SEARCH("Pendiente",D25)))</formula>
    </cfRule>
    <cfRule type="containsText" dxfId="649" priority="53" operator="containsText" text="Parcialmente Cumple">
      <formula>NOT(ISERROR(SEARCH("Parcialmente Cumple",D25)))</formula>
    </cfRule>
    <cfRule type="containsText" dxfId="648" priority="54" operator="containsText" text="No Cumple">
      <formula>NOT(ISERROR(SEARCH("No Cumple",D25)))</formula>
    </cfRule>
    <cfRule type="beginsWith" dxfId="647" priority="55" operator="beginsWith" text="Cumple">
      <formula>LEFT(D25,LEN("Cumple"))="Cumple"</formula>
    </cfRule>
  </conditionalFormatting>
  <conditionalFormatting sqref="D38">
    <cfRule type="containsText" dxfId="646" priority="17" operator="containsText" text="Pendiente">
      <formula>NOT(ISERROR(SEARCH("Pendiente",D38)))</formula>
    </cfRule>
    <cfRule type="containsText" dxfId="645" priority="18" operator="containsText" text="Parcialmente Cumple">
      <formula>NOT(ISERROR(SEARCH("Parcialmente Cumple",D38)))</formula>
    </cfRule>
    <cfRule type="containsText" dxfId="644" priority="19" operator="containsText" text="No Cumple">
      <formula>NOT(ISERROR(SEARCH("No Cumple",D38)))</formula>
    </cfRule>
    <cfRule type="beginsWith" dxfId="643" priority="20" operator="beginsWith" text="Cumple">
      <formula>LEFT(D38,LEN("Cumple"))="Cumple"</formula>
    </cfRule>
  </conditionalFormatting>
  <conditionalFormatting sqref="D38:E38">
    <cfRule type="containsText" dxfId="642" priority="16" operator="containsText" text="No Aplica">
      <formula>NOT(ISERROR(SEARCH("No Aplica",D38)))</formula>
    </cfRule>
  </conditionalFormatting>
  <conditionalFormatting sqref="E14">
    <cfRule type="containsText" dxfId="641" priority="31" operator="containsText" text="No Aplica">
      <formula>NOT(ISERROR(SEARCH("No Aplica",E14)))</formula>
    </cfRule>
    <cfRule type="containsText" dxfId="640" priority="32" operator="containsText" text="Seleccionar">
      <formula>NOT(ISERROR(SEARCH("Seleccionar",E14)))</formula>
    </cfRule>
    <cfRule type="containsText" dxfId="639" priority="33" operator="containsText" text="Parcialmente Cumple">
      <formula>NOT(ISERROR(SEARCH("Parcialmente Cumple",E14)))</formula>
    </cfRule>
    <cfRule type="containsText" dxfId="638" priority="34" operator="containsText" text="No Cumple">
      <formula>NOT(ISERROR(SEARCH("No Cumple",E14)))</formula>
    </cfRule>
    <cfRule type="beginsWith" dxfId="637" priority="35" operator="beginsWith" text="Cumple">
      <formula>LEFT(E14,LEN("Cumple"))="Cumple"</formula>
    </cfRule>
  </conditionalFormatting>
  <conditionalFormatting sqref="E38">
    <cfRule type="containsText" dxfId="636" priority="22" operator="containsText" text="Seleccionar">
      <formula>NOT(ISERROR(SEARCH("Seleccionar",E38)))</formula>
    </cfRule>
    <cfRule type="containsText" dxfId="635" priority="23" operator="containsText" text="Parcialmente Cumple">
      <formula>NOT(ISERROR(SEARCH("Parcialmente Cumple",E38)))</formula>
    </cfRule>
    <cfRule type="containsText" dxfId="634" priority="24" operator="containsText" text="No Cumple">
      <formula>NOT(ISERROR(SEARCH("No Cumple",E38)))</formula>
    </cfRule>
    <cfRule type="beginsWith" dxfId="633" priority="25" operator="beginsWith" text="Cumple">
      <formula>LEFT(E38,LEN("Cumple"))="Cumple"</formula>
    </cfRule>
  </conditionalFormatting>
  <conditionalFormatting sqref="E39:E44">
    <cfRule type="containsText" dxfId="632" priority="6" operator="containsText" text="No Aplica">
      <formula>NOT(ISERROR(SEARCH("No Aplica",E39)))</formula>
    </cfRule>
    <cfRule type="containsText" dxfId="631" priority="7" operator="containsText" text="Seleccionar">
      <formula>NOT(ISERROR(SEARCH("Seleccionar",E39)))</formula>
    </cfRule>
    <cfRule type="containsText" dxfId="630" priority="8" operator="containsText" text="Parcialmente Cumple">
      <formula>NOT(ISERROR(SEARCH("Parcialmente Cumple",E39)))</formula>
    </cfRule>
    <cfRule type="containsText" dxfId="629" priority="9" operator="containsText" text="No Cumple">
      <formula>NOT(ISERROR(SEARCH("No Cumple",E39)))</formula>
    </cfRule>
    <cfRule type="beginsWith" dxfId="628" priority="10" operator="beginsWith" text="Cumple">
      <formula>LEFT(E39,LEN("Cumple"))="Cumple"</formula>
    </cfRule>
  </conditionalFormatting>
  <hyperlinks>
    <hyperlink ref="E49" r:id="rId1" display="Consulta el estandar Cradle to Cradle"/>
    <hyperlink ref="E48" r:id="rId2" display="Consulta el Plan de Acción para la economía Circular (UE)"/>
    <hyperlink ref="E51" r:id="rId3" display="Consulta información sobre la Economía Circular (Fundación Ellen McArthur)"/>
    <hyperlink ref="E52" r:id="rId4" display="https://icaen.gencat.cat/ca/energia/renovables/"/>
    <hyperlink ref="E45" r:id="rId5" location="286-290-wpfd-breeam-es-nueva-construccion" display="Consulta los requisitos del marco BREEAM"/>
    <hyperlink ref="E46" r:id="rId6" display="Consulta los requisitos del marco LEED"/>
    <hyperlink ref="E47" r:id="rId7" display="Consulta información sobre GBCE.ES"/>
    <hyperlink ref="E32" r:id="rId8" display="Consulta información sobre las ecoetiquetas de la UE"/>
    <hyperlink ref="E31" r:id="rId9" display="Consulta ISO 20400:2017 sobre adquisición sostenible"/>
    <hyperlink ref="E16" r:id="rId10" display="Consulta información sobre ISO 9001"/>
    <hyperlink ref="E18" r:id="rId11" display="Consulta información sobre ISO 14001"/>
    <hyperlink ref="E19" r:id="rId12" display="Consulta más información sobre el CSRD"/>
    <hyperlink ref="E20" r:id="rId13" display="Consulta ley 11/2018"/>
    <hyperlink ref="E21" r:id="rId14" display="Consulta más información sobre el marco GRI"/>
    <hyperlink ref="E25" r:id="rId15" display="Consulta el Documento de Referencia sobre las mejores tecnologías disponibles en términos de eficiencia energética"/>
    <hyperlink ref="E28" r:id="rId16" display="Consulta el Real Decreto 901/2020"/>
    <hyperlink ref="E29" r:id="rId17" display="Consulta Ley 7/2022"/>
    <hyperlink ref="E17" r:id="rId18" display="Consulta informació sobre EMAS"/>
    <hyperlink ref="E26" r:id="rId19" display="https://act.gencat.cat/wp-content/uploads/2019/05/CAT-ACT-POL%C3%8DTICA-DE-PRIVACITAT.pdf"/>
    <hyperlink ref="E39" r:id="rId20" display="https://eur-lex.europa.eu/legal-content/ES/TXT/PDF/?uri=CELEX:32020R0852"/>
    <hyperlink ref="E41" r:id="rId21" display="https://eur-lex.europa.eu/legal-content/ES/TXT/PDF/?uri=CELEX:32020R0852"/>
    <hyperlink ref="E43" r:id="rId22" display="https://eur-lex.europa.eu/legal-content/ES/TXT/PDF/?uri=CELEX:32020R0852"/>
    <hyperlink ref="E27" r:id="rId23" display="Consulta un exemple de codi de conducta/ètica de proveïdors"/>
    <hyperlink ref="E15" r:id="rId24" display="Consulta més informació sobre el codi de conducta"/>
    <hyperlink ref="E55" r:id="rId25" display="Cosnulta informació sobre el DGQA epecífic per a primèries matèries i productes d'àrid reciclat"/>
    <hyperlink ref="E54" r:id="rId26" display="Consulta informació sobre el Distintiu de garantia de qualitat ambiental per a productes de formigó amb material reciclat"/>
    <hyperlink ref="E40" r:id="rId27" display="Consulta els criteris tècnics de selecció per la consideració de quan una activitat econòmica contribueix a la mitigació o a l'adaptació al canvi climàtic"/>
    <hyperlink ref="E42" r:id="rId28" display="Consulta els criteris tècnics de selecció per la consideració de quan una activitat econòmica contribueix a la mitigació o a l'adaptació al canvi climàtic"/>
    <hyperlink ref="E44" r:id="rId29" display="Consulta els criteris tècnics de selecció per la consideració de quan una activitat econòmica contribueix a la mitigació o a l'adaptació al canvi climàtic"/>
    <hyperlink ref="E33" r:id="rId30" display="https://treball.gencat.cat/ca/ambits/seguretat_i_salut_laboral/ci_/pla-govern/"/>
    <hyperlink ref="E34" r:id="rId31" display="https://govern.cat/gov/pla-govern?eix=0&amp;ambit=1"/>
    <hyperlink ref="E56" r:id="rId32" display="Consulta informació sobre el Distintiu de garantia de qualitat ambiental per a primèries matèries i productes d'àrid reciclat"/>
    <hyperlink ref="E57" r:id="rId33" display="http://infonorma.gencat.cat/marc_pro.html"/>
    <hyperlink ref="E58" r:id="rId34" display="https://cido.diba.cat/convenis_collectius/9370/sector-de-la-construccio-i-obres-publiques-de-la-provincia-de-barcelona"/>
    <hyperlink ref="E59" r:id="rId35" display="https://icaen.gencat.cat/ca/plans_programes/ecree/"/>
    <hyperlink ref="E60" r:id="rId36" display="https://infraestructures.gencat.cat/?page=index"/>
    <hyperlink ref="E61" r:id="rId37" display="https://habitatge.gencat.cat/ca/ambits/control_qualitat_de_ledificacio/"/>
    <hyperlink ref="E22" r:id="rId38" display="Consulta información sobre el GHG Protocol"/>
    <hyperlink ref="E23" r:id="rId39" display="https://canviclimatic.gencat.cat/ca/oficina/index.html"/>
    <hyperlink ref="E50" r:id="rId40"/>
    <hyperlink ref="E30" r:id="rId41"/>
    <hyperlink ref="E53" r:id="rId42"/>
  </hyperlinks>
  <pageMargins left="0.7" right="0.7" top="0.75" bottom="0.75" header="0.3" footer="0.3"/>
  <pageSetup paperSize="9" orientation="portrait" r:id="rId4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theme="9" tint="0.39997558519241921"/>
  </sheetPr>
  <dimension ref="A1:AN68"/>
  <sheetViews>
    <sheetView showGridLines="0" zoomScale="70" zoomScaleNormal="70" workbookViewId="0">
      <selection activeCell="D4" sqref="D4"/>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311" t="s">
        <v>1498</v>
      </c>
      <c r="E1" s="93" t="s">
        <v>757</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J2" s="86"/>
      <c r="K2" s="86"/>
      <c r="L2" s="83"/>
    </row>
    <row r="3" spans="1:40" ht="50.15" customHeight="1">
      <c r="A3" s="80"/>
      <c r="B3" s="79"/>
      <c r="C3" s="89"/>
      <c r="D3" s="129" t="s">
        <v>416</v>
      </c>
      <c r="E3" s="143" t="s">
        <v>362</v>
      </c>
      <c r="F3" s="143" t="s">
        <v>357</v>
      </c>
      <c r="G3" s="144" t="s">
        <v>363</v>
      </c>
      <c r="H3" s="145" t="s">
        <v>360</v>
      </c>
      <c r="I3" s="132" t="s">
        <v>367</v>
      </c>
      <c r="J3" s="153"/>
      <c r="K3" s="153"/>
    </row>
    <row r="4" spans="1:40" ht="176.5" customHeight="1">
      <c r="B4" s="98" t="s">
        <v>423</v>
      </c>
      <c r="C4" s="266" t="s">
        <v>356</v>
      </c>
      <c r="D4" s="95" t="str">
        <f>HLOOKUP(D3,AUTO!$B$1:$AJ$2,2,FALSE)</f>
        <v>Les oportunitats de tecnologies/aplicacions sostenibles són rellevants per als sectors on hi ha tecnologies verdes o aplicacions sostenibles que es podrien implementar per afavorir la sostenibilitat de l'empresa. Per exemple, la instal·lació de capacitat de renovables en el sector de l'energia o les aplicacions de tecnologies verdes en la construcció de nous edificis per al sector de l'edificació són oportunitats importants per diferenciar-se de la competència en termes de sostenibilitat.</v>
      </c>
      <c r="E4" s="95" t="str">
        <f>HLOOKUP(E3,AUTO!$B$1:$AJ$2,2,FALSE)</f>
        <v>Aquesta categoria se centra en els impactes de les operacions o els actius d'una empresa sobre ecosistemes i la seva biodiversitat. Les activitats amb potencials impactes significatius són aquelles vinculades amb canvis en l'ús del sòl per a exploració/explotació de recursos naturals, construcció, agricultura extensiva, etc. Els impactes poden produir pèrdua de biodiversitat, destrucció d'hàbitats, deforestació i pèrdua de serveis ecosistèmics bàsics. Les empreses haurien d'avaluar les seves dependències i impactes sobre el capital natural (natura), mitigar els riscos associats i fomentar un impacte positiu en totes les fases de la cadena de valor de l'empresa.</v>
      </c>
      <c r="F4" s="95" t="str">
        <f>HLOOKUP(F3,AUTO!$B$1:$AJ$2,2,FALSE)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G4" s="95" t="str">
        <f>HLOOKUP(G3,AUTO!$B$1:$AJ$2,2,FALSE)</f>
        <v>El disseny dels productes i els seus cicles de vida són molt importants per gestionar l'impacte mediambiental de l'empresa. L'ecodisseny pot facilitar la reparació i el manteniment del producte i millorar-ne la tria dels materials més adequats i la reuitilització. Un correcte ecodisseny assegura una reducció dels impactes en tot el cicle de vida del producte. Les empreses que tenen en compte els impactes durant tot el cicle de vida permeten reduir l'impacte total del producte o servei en l'ús de materials, disseny industrial, producció i gestió de residus. D'aquesta manera, les empreses s'adapten als esquemes de responsabilitat ampliada del productor o futures normatives enfocades a la circularitat de l'economia.</v>
      </c>
      <c r="H4" s="115" t="str">
        <f>HLOOKUP(H3,AUTO!$B$1:$AJ$2,2,FALSE)</f>
        <v xml:space="preserve">La gestió sostenible de l'aigua tracta d'assegurar que el consum i ús d'aquesta aigua per part de l'empresa estiguin alineats amb la capacitat de recuperar-se de l'ecosistema i no generin impactes negatius. Les necessitats de consumir aigua estan lligades al sector i a la ubicació de la planta. És important destacar que les empreses amb operacions en zones amb estrès hídric caldrà que avaluïn com fer una gestió sostenible dels recursos hídrics. Això inclou reduir el consum d'aigua, millorar la captura i reutilització de les aigües grises i millorar el tractament d'aigües residuals, entre d'altres. </v>
      </c>
      <c r="I4" s="95" t="str">
        <f>HLOOKUP(I3,AUTO!$B$1:$AJ$2,2,FALSE)</f>
        <v>Garantir la seguretat química és de gran importància per preservar els ecosistemes i protegir les comunitats properes a instal·lacions que empren substàncies químiques perilloses. Les empreses que comercialitzen productes que contenen substàncies químiques perilloses susceptibles d'entrar en contacte amb l'entorn natural o els usuaris d'aquests productes és essencial que prenguin totes les mesures necessàries per prevenir aquesta situació. Millorar la seguretat química pot implicar la recerca d'alternatives de materials per a l'ús en els seus productes, dissenyar productes de manera segura per prevenir fuites de substàncies i elaborar un pla de gestió de residus al final del cicle de vida del producte.</v>
      </c>
      <c r="J4" s="73"/>
      <c r="K4" s="73"/>
    </row>
    <row r="5" spans="1:40" ht="150" customHeight="1">
      <c r="B5" s="98" t="s">
        <v>456</v>
      </c>
      <c r="C5" s="267"/>
      <c r="D5" s="120" t="s">
        <v>758</v>
      </c>
      <c r="E5" s="122" t="s">
        <v>759</v>
      </c>
      <c r="F5" s="120" t="s">
        <v>760</v>
      </c>
      <c r="G5" s="120" t="s">
        <v>727</v>
      </c>
      <c r="H5" s="177" t="s">
        <v>726</v>
      </c>
      <c r="I5" s="120" t="s">
        <v>761</v>
      </c>
      <c r="J5" s="136"/>
      <c r="K5" s="179"/>
    </row>
    <row r="6" spans="1:40" ht="50.15" customHeight="1">
      <c r="B6" s="110"/>
      <c r="C6" s="268" t="s">
        <v>369</v>
      </c>
      <c r="D6" s="146" t="s">
        <v>371</v>
      </c>
      <c r="E6" s="146" t="s">
        <v>421</v>
      </c>
      <c r="F6" s="162" t="s">
        <v>372</v>
      </c>
      <c r="G6" s="162" t="s">
        <v>373</v>
      </c>
      <c r="H6" s="147" t="s">
        <v>419</v>
      </c>
      <c r="I6" s="147" t="s">
        <v>417</v>
      </c>
    </row>
    <row r="7" spans="1:40" ht="150" customHeight="1">
      <c r="B7" s="98" t="s">
        <v>423</v>
      </c>
      <c r="C7" s="266"/>
      <c r="D7" s="104" t="str">
        <f>HLOOKUP(D6,AUTO!$B$1:$AJ$2,2,FALSE)</f>
        <v>El desenvolupament del capital humà pot ser un factor important per a empreses en sectors que requereixen coneixements o habilitats específiques. Les empreses que no inverteixen en el desenvolupament dels seus empleats poden perdre competitivitat en el mercat laboral, la qual cosa pot afectar la seva capacitat d'atreure i mantenir personal capacitat. Per assegurar la sostenibilitat social i econòmica en el futur, l'empresa pot oferir oportunitats de creixement al seu personal. En la mateixa línia, per mantenir una posició competitiva al mercat, les empreses han d'invertir en la formació i educació dels seus empleats.</v>
      </c>
      <c r="E7" s="95" t="str">
        <f>HLOOKUP(E6,AUTO!$B$1:$AJ$2,2,FALSE)</f>
        <v>L'accés i l'assequibilitat, especialment de productes i serveis bàsics, és important per a la igualtat d'oportunitats. Les empreses haurien de gestionar els preus i costos de manera responsable per oferir els productes i serveis (bàsics) a un preu assequible per a totes les persones que ho necessitin. Addicionalment, s'hauria d'avaluar l'accessibilitat de productes, serveis i edificis a totes les persones, incloent-hi les persones amb discapacitat, i prendre mesures per assegurar l'accessibilitat universal.</v>
      </c>
      <c r="F7" s="95" t="str">
        <f>HLOOKUP(F6,AUTO!$B$1:$AJ$2,2,FALSE)</f>
        <v>La ciberseguretat tracta sobre la seguretat dels sistemes informàtics de les empreses. Aquests sistemes poden contenir informació crucial per a les operacions de l'empresa i/o dels seus clients, per la qual cosa és important comptar amb un bon nivell de protecció. Les empreses poden millorar la seva seguretat si assignen un responsable de ciberseguretat al departament d'IT. Addicionalment, podrien dur a terme proves de seguretat periòdiques i establir protocols per contenir qualsevol risc digital, entre d'altres.</v>
      </c>
      <c r="G7" s="95" t="str">
        <f>HLOOKUP(G6,AUTO!$B$1:$AJ$2,2,FALSE)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H7" s="95" t="str">
        <f>HLOOKUP(H6,AUTO!$B$1:$AJ$2,2,FALSE)</f>
        <v>El compromís dels empleats i la promoció de la diversitat i inclusió a l'empresa són temes socials de gran rellevància. Aquests aspectes asseguren que la força laboral sigui diversa i que s'ofereixin oportunitats sense discriminació, la qual cosa permet la inclusió de membres de les comunitats locals i els consumidors dels productes de l'empresa. Per fomentar el compromís, la diversitat i la inclusió en l'empresa, és fonamental establir polítiques antidiscriminatòries en el procés de reclutament i promoure una cultura corporativa inclusiva.</v>
      </c>
      <c r="I7" s="95" t="str">
        <f>HLOOKUP(I6,AUTO!$B$1:$AJ$2,2,FALSE)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row>
    <row r="8" spans="1:40" ht="184" customHeight="1">
      <c r="B8" s="98" t="s">
        <v>456</v>
      </c>
      <c r="C8" s="267"/>
      <c r="D8" s="120" t="s">
        <v>1195</v>
      </c>
      <c r="E8" s="120" t="s">
        <v>762</v>
      </c>
      <c r="F8" s="122" t="s">
        <v>763</v>
      </c>
      <c r="G8" s="120" t="s">
        <v>764</v>
      </c>
      <c r="H8" s="120" t="s">
        <v>765</v>
      </c>
      <c r="I8" s="192" t="s">
        <v>1194</v>
      </c>
    </row>
    <row r="9" spans="1:40" ht="50.15" customHeight="1">
      <c r="B9" s="99"/>
      <c r="C9" s="268" t="s">
        <v>383</v>
      </c>
      <c r="D9" s="148" t="s">
        <v>384</v>
      </c>
      <c r="E9" s="149" t="s">
        <v>389</v>
      </c>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 xml:space="preserve">La resiliència del model de negoci fa referència a la capacitat de l'empresa d'adaptar-se als canvis relacionats amb les transicions ASG (mediambientals, socials i de bon govern). Això inclou la capacitat de mitigar riscos (com els reputacionals, legals i físics) i aprofitar les oportunitats que presenten els possibles nous mercats i productes i la diferenciació basada en la sostenibilitat. Les empreses més resilients compten amb sistemes de gestió de la sostenibilitat que identifiquen, avaluen i responen als riscos i les oportunitats potencials.
</v>
      </c>
    </row>
    <row r="11" spans="1:40" ht="150" customHeight="1">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732</v>
      </c>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556</v>
      </c>
      <c r="O16" s="24"/>
      <c r="Q16"/>
    </row>
    <row r="17" spans="1:17" ht="75" customHeight="1">
      <c r="B17" s="248" t="s">
        <v>1345</v>
      </c>
      <c r="C17" s="256" t="s">
        <v>551</v>
      </c>
      <c r="D17" s="248" t="s">
        <v>557</v>
      </c>
      <c r="E17" s="111" t="s">
        <v>558</v>
      </c>
      <c r="O17" s="24"/>
      <c r="Q17"/>
    </row>
    <row r="18" spans="1:17" ht="75" customHeight="1">
      <c r="B18" s="248"/>
      <c r="C18" s="258"/>
      <c r="D18" s="248"/>
      <c r="E18" s="112" t="s">
        <v>639</v>
      </c>
      <c r="O18" s="24"/>
      <c r="Q18"/>
    </row>
    <row r="19" spans="1:17" ht="60" customHeight="1">
      <c r="B19" s="253" t="s">
        <v>560</v>
      </c>
      <c r="C19" s="256" t="s">
        <v>551</v>
      </c>
      <c r="D19" s="253" t="s">
        <v>861</v>
      </c>
      <c r="E19" s="112" t="s">
        <v>561</v>
      </c>
      <c r="P19"/>
      <c r="Q19"/>
    </row>
    <row r="20" spans="1:17" ht="60" customHeight="1">
      <c r="B20" s="254"/>
      <c r="C20" s="257"/>
      <c r="D20" s="254"/>
      <c r="E20" s="112" t="s">
        <v>562</v>
      </c>
      <c r="P20"/>
      <c r="Q20"/>
    </row>
    <row r="21" spans="1:17" ht="60" customHeight="1">
      <c r="B21" s="255"/>
      <c r="C21" s="258"/>
      <c r="D21" s="255"/>
      <c r="E21" s="112" t="s">
        <v>563</v>
      </c>
      <c r="P21"/>
      <c r="Q21"/>
    </row>
    <row r="22" spans="1:17" ht="86.5" customHeight="1">
      <c r="B22" s="253" t="s">
        <v>1370</v>
      </c>
      <c r="C22" s="256" t="s">
        <v>551</v>
      </c>
      <c r="D22" s="253" t="s">
        <v>1210</v>
      </c>
      <c r="E22" s="174" t="s">
        <v>676</v>
      </c>
      <c r="O22" s="72"/>
      <c r="P22" s="72"/>
      <c r="Q22"/>
    </row>
    <row r="23" spans="1:17" ht="60" customHeight="1">
      <c r="B23" s="254"/>
      <c r="C23" s="257"/>
      <c r="D23" s="254"/>
      <c r="E23" s="285" t="s">
        <v>582</v>
      </c>
      <c r="P23"/>
      <c r="Q23"/>
    </row>
    <row r="24" spans="1:17" ht="32.5" customHeight="1">
      <c r="B24" s="255"/>
      <c r="C24" s="258"/>
      <c r="D24" s="255"/>
      <c r="E24" s="285"/>
      <c r="P24"/>
      <c r="Q24"/>
    </row>
    <row r="25" spans="1:17" ht="150" customHeight="1">
      <c r="B25" s="117" t="s">
        <v>1346</v>
      </c>
      <c r="C25" s="118" t="s">
        <v>551</v>
      </c>
      <c r="D25" s="103" t="s">
        <v>1038</v>
      </c>
      <c r="E25" s="174" t="s">
        <v>566</v>
      </c>
      <c r="P25"/>
      <c r="Q25"/>
    </row>
    <row r="26" spans="1:17" ht="150" customHeight="1">
      <c r="B26" s="117" t="s">
        <v>567</v>
      </c>
      <c r="C26" s="118" t="s">
        <v>551</v>
      </c>
      <c r="D26" s="117" t="s">
        <v>568</v>
      </c>
      <c r="E26" s="112" t="s">
        <v>569</v>
      </c>
      <c r="P26"/>
      <c r="Q26"/>
    </row>
    <row r="27" spans="1:17" ht="148.5" customHeight="1">
      <c r="A27" s="78"/>
      <c r="B27" s="117" t="s">
        <v>570</v>
      </c>
      <c r="C27" s="118" t="s">
        <v>551</v>
      </c>
      <c r="D27" s="117" t="s">
        <v>862</v>
      </c>
      <c r="E27" s="112" t="s">
        <v>641</v>
      </c>
      <c r="P27"/>
      <c r="Q27"/>
    </row>
    <row r="28" spans="1:17" ht="150" customHeight="1">
      <c r="A28" s="78"/>
      <c r="B28" s="117" t="s">
        <v>1374</v>
      </c>
      <c r="C28" s="119" t="s">
        <v>1375</v>
      </c>
      <c r="D28" s="117" t="s">
        <v>707</v>
      </c>
      <c r="E28" s="111" t="s">
        <v>574</v>
      </c>
      <c r="G28" s="86"/>
      <c r="H28" s="86"/>
      <c r="I28" s="86"/>
      <c r="J28" s="86"/>
      <c r="K28" s="83"/>
      <c r="L28" s="86"/>
      <c r="M28" s="86"/>
      <c r="N28" s="83"/>
      <c r="P28"/>
      <c r="Q28"/>
    </row>
    <row r="29" spans="1:17" ht="125" customHeight="1">
      <c r="B29" s="274" t="s">
        <v>1419</v>
      </c>
      <c r="C29" s="276" t="s">
        <v>551</v>
      </c>
      <c r="D29" s="274" t="s">
        <v>1340</v>
      </c>
      <c r="E29" s="174" t="s">
        <v>575</v>
      </c>
      <c r="G29" s="140"/>
      <c r="H29" s="140"/>
      <c r="P29"/>
      <c r="Q29"/>
    </row>
    <row r="30" spans="1:17" ht="125" customHeight="1">
      <c r="B30" s="275"/>
      <c r="C30" s="272"/>
      <c r="D30" s="288"/>
      <c r="E30" s="227" t="s">
        <v>1329</v>
      </c>
      <c r="G30" s="140"/>
      <c r="H30" s="140"/>
      <c r="P30"/>
      <c r="Q30"/>
    </row>
    <row r="31" spans="1:17" ht="92.5" customHeight="1">
      <c r="B31" s="248" t="s">
        <v>1315</v>
      </c>
      <c r="C31" s="259" t="s">
        <v>551</v>
      </c>
      <c r="D31" s="248" t="s">
        <v>1420</v>
      </c>
      <c r="E31" s="174" t="s">
        <v>1297</v>
      </c>
      <c r="P31"/>
      <c r="Q31"/>
    </row>
    <row r="32" spans="1:17" ht="82.5" customHeight="1">
      <c r="B32" s="248"/>
      <c r="C32" s="260"/>
      <c r="D32" s="248"/>
      <c r="E32" s="174" t="s">
        <v>580</v>
      </c>
      <c r="P32"/>
      <c r="Q32"/>
    </row>
    <row r="33" spans="1:17" ht="150" customHeight="1">
      <c r="A33" s="76"/>
      <c r="B33" s="150" t="s">
        <v>1183</v>
      </c>
      <c r="C33" s="161" t="s">
        <v>551</v>
      </c>
      <c r="D33" s="150" t="s">
        <v>1227</v>
      </c>
      <c r="E33" s="216" t="s">
        <v>643</v>
      </c>
      <c r="P33"/>
      <c r="Q33"/>
    </row>
    <row r="34" spans="1:17" ht="150" customHeight="1">
      <c r="A34" s="76"/>
      <c r="B34" s="150" t="s">
        <v>1249</v>
      </c>
      <c r="C34" s="161" t="s">
        <v>551</v>
      </c>
      <c r="D34" s="150" t="s">
        <v>1248</v>
      </c>
      <c r="E34" s="216" t="s">
        <v>767</v>
      </c>
      <c r="P34"/>
      <c r="Q34"/>
    </row>
    <row r="35" spans="1:17" ht="150" customHeight="1">
      <c r="A35" s="76"/>
      <c r="B35" s="150" t="s">
        <v>768</v>
      </c>
      <c r="C35" s="161" t="s">
        <v>551</v>
      </c>
      <c r="D35" s="150" t="s">
        <v>1252</v>
      </c>
      <c r="E35" s="216" t="s">
        <v>769</v>
      </c>
      <c r="P35"/>
      <c r="Q35"/>
    </row>
    <row r="36" spans="1:17" ht="150" customHeight="1">
      <c r="A36" s="76"/>
      <c r="B36" s="150" t="s">
        <v>772</v>
      </c>
      <c r="C36" s="161" t="s">
        <v>551</v>
      </c>
      <c r="D36" s="150" t="s">
        <v>1253</v>
      </c>
      <c r="E36" s="216" t="s">
        <v>773</v>
      </c>
      <c r="P36"/>
      <c r="Q36"/>
    </row>
    <row r="37" spans="1:17" ht="150" customHeight="1">
      <c r="A37" s="76"/>
      <c r="B37" s="150" t="s">
        <v>585</v>
      </c>
      <c r="C37" s="161" t="s">
        <v>551</v>
      </c>
      <c r="D37" s="150" t="s">
        <v>1229</v>
      </c>
      <c r="E37" s="216" t="s">
        <v>586</v>
      </c>
      <c r="P37"/>
      <c r="Q37"/>
    </row>
    <row r="38" spans="1:17" ht="150" customHeight="1">
      <c r="B38" s="150" t="s">
        <v>1255</v>
      </c>
      <c r="C38" s="161" t="s">
        <v>551</v>
      </c>
      <c r="D38" s="150" t="s">
        <v>1256</v>
      </c>
      <c r="E38" s="216" t="s">
        <v>775</v>
      </c>
      <c r="O38" s="24"/>
      <c r="Q38"/>
    </row>
    <row r="39" spans="1:17" ht="150" customHeight="1">
      <c r="A39" s="73"/>
      <c r="B39" s="150" t="s">
        <v>644</v>
      </c>
      <c r="C39" s="161" t="s">
        <v>551</v>
      </c>
      <c r="D39" s="150" t="s">
        <v>1234</v>
      </c>
      <c r="E39" s="220" t="s">
        <v>645</v>
      </c>
      <c r="P39"/>
      <c r="Q39"/>
    </row>
    <row r="40" spans="1:17">
      <c r="A40" s="76"/>
      <c r="P40"/>
      <c r="Q40"/>
    </row>
    <row r="41" spans="1:17" ht="13" customHeight="1">
      <c r="A41" s="73"/>
      <c r="P41"/>
      <c r="Q41"/>
    </row>
    <row r="42" spans="1:17" ht="50.15" customHeight="1">
      <c r="A42" s="73"/>
      <c r="B42" s="250" t="s">
        <v>776</v>
      </c>
      <c r="C42" s="251"/>
      <c r="D42" s="251"/>
      <c r="E42" s="252"/>
      <c r="P42"/>
      <c r="Q42"/>
    </row>
    <row r="43" spans="1:17" ht="50.15" customHeight="1">
      <c r="A43" s="77"/>
      <c r="B43" s="197" t="s">
        <v>464</v>
      </c>
      <c r="C43" s="197" t="s">
        <v>548</v>
      </c>
      <c r="D43" s="197" t="s">
        <v>423</v>
      </c>
      <c r="E43" s="197" t="s">
        <v>634</v>
      </c>
      <c r="P43"/>
      <c r="Q43"/>
    </row>
    <row r="44" spans="1:17" ht="51.65" customHeight="1">
      <c r="A44" s="76"/>
      <c r="B44" s="253" t="s">
        <v>735</v>
      </c>
      <c r="C44" s="263" t="s">
        <v>1411</v>
      </c>
      <c r="D44" s="253" t="s">
        <v>737</v>
      </c>
      <c r="E44" s="112" t="s">
        <v>710</v>
      </c>
      <c r="P44"/>
      <c r="Q44"/>
    </row>
    <row r="45" spans="1:17" ht="67" customHeight="1">
      <c r="A45" s="76"/>
      <c r="B45" s="255"/>
      <c r="C45" s="265"/>
      <c r="D45" s="255"/>
      <c r="E45" s="112" t="s">
        <v>777</v>
      </c>
      <c r="P45"/>
      <c r="Q45"/>
    </row>
    <row r="46" spans="1:17" ht="54.65" customHeight="1">
      <c r="A46" s="76"/>
      <c r="B46" s="253" t="s">
        <v>735</v>
      </c>
      <c r="C46" s="263" t="s">
        <v>1412</v>
      </c>
      <c r="D46" s="253" t="s">
        <v>737</v>
      </c>
      <c r="E46" s="112" t="s">
        <v>710</v>
      </c>
      <c r="P46"/>
      <c r="Q46"/>
    </row>
    <row r="47" spans="1:17" ht="57" customHeight="1">
      <c r="A47" s="76"/>
      <c r="B47" s="255"/>
      <c r="C47" s="265"/>
      <c r="D47" s="255"/>
      <c r="E47" s="112" t="s">
        <v>711</v>
      </c>
      <c r="P47"/>
      <c r="Q47"/>
    </row>
    <row r="48" spans="1:17" ht="48.65" customHeight="1">
      <c r="A48" s="70"/>
      <c r="B48" s="253" t="s">
        <v>735</v>
      </c>
      <c r="C48" s="263" t="s">
        <v>1413</v>
      </c>
      <c r="D48" s="253" t="s">
        <v>737</v>
      </c>
      <c r="E48" s="112" t="s">
        <v>710</v>
      </c>
      <c r="P48"/>
      <c r="Q48"/>
    </row>
    <row r="49" spans="1:17" ht="52" customHeight="1">
      <c r="A49" s="70"/>
      <c r="B49" s="255"/>
      <c r="C49" s="265"/>
      <c r="D49" s="255"/>
      <c r="E49" s="112" t="s">
        <v>711</v>
      </c>
      <c r="P49"/>
      <c r="Q49"/>
    </row>
    <row r="50" spans="1:17" ht="50.15" customHeight="1">
      <c r="B50" s="248" t="s">
        <v>738</v>
      </c>
      <c r="C50" s="279" t="s">
        <v>1411</v>
      </c>
      <c r="D50" s="248" t="s">
        <v>1414</v>
      </c>
      <c r="E50" s="112" t="s">
        <v>739</v>
      </c>
      <c r="P50"/>
      <c r="Q50"/>
    </row>
    <row r="51" spans="1:17" ht="50.15" customHeight="1">
      <c r="B51" s="248"/>
      <c r="C51" s="279"/>
      <c r="D51" s="248"/>
      <c r="E51" s="112" t="s">
        <v>740</v>
      </c>
      <c r="P51"/>
      <c r="Q51"/>
    </row>
    <row r="52" spans="1:17" ht="50.15" customHeight="1">
      <c r="B52" s="248"/>
      <c r="C52" s="279"/>
      <c r="D52" s="248"/>
      <c r="E52" s="112" t="s">
        <v>741</v>
      </c>
      <c r="P52"/>
      <c r="Q52"/>
    </row>
    <row r="53" spans="1:17" ht="50.15" customHeight="1">
      <c r="A53" s="80"/>
      <c r="B53" s="253" t="s">
        <v>795</v>
      </c>
      <c r="C53" s="256" t="s">
        <v>551</v>
      </c>
      <c r="D53" s="253" t="s">
        <v>1310</v>
      </c>
      <c r="E53" s="112" t="s">
        <v>715</v>
      </c>
      <c r="G53" s="140"/>
      <c r="H53" s="140"/>
      <c r="I53" s="140"/>
      <c r="P53"/>
      <c r="Q53"/>
    </row>
    <row r="54" spans="1:17" ht="50.15" customHeight="1">
      <c r="B54" s="254"/>
      <c r="C54" s="257"/>
      <c r="D54" s="254"/>
      <c r="E54" s="112" t="s">
        <v>778</v>
      </c>
      <c r="G54" s="73"/>
      <c r="H54" s="73"/>
      <c r="I54" s="73"/>
      <c r="P54"/>
      <c r="Q54"/>
    </row>
    <row r="55" spans="1:17" ht="50.15" customHeight="1">
      <c r="B55" s="254"/>
      <c r="C55" s="257"/>
      <c r="D55" s="254"/>
      <c r="E55" s="223" t="s">
        <v>1307</v>
      </c>
      <c r="G55" s="73"/>
      <c r="H55" s="73"/>
      <c r="I55" s="73"/>
      <c r="P55"/>
      <c r="Q55"/>
    </row>
    <row r="56" spans="1:17" ht="64" customHeight="1">
      <c r="B56" s="255"/>
      <c r="C56" s="258"/>
      <c r="D56" s="255"/>
      <c r="E56" s="112" t="s">
        <v>743</v>
      </c>
      <c r="G56" s="136"/>
      <c r="H56" s="136"/>
      <c r="I56" s="136"/>
      <c r="P56"/>
      <c r="Q56"/>
    </row>
    <row r="57" spans="1:17" ht="185.15" customHeight="1">
      <c r="B57" s="150" t="s">
        <v>1415</v>
      </c>
      <c r="C57" s="151" t="s">
        <v>551</v>
      </c>
      <c r="D57" s="150" t="s">
        <v>1421</v>
      </c>
      <c r="E57" s="112" t="s">
        <v>745</v>
      </c>
      <c r="P57"/>
      <c r="Q57"/>
    </row>
    <row r="58" spans="1:17" ht="182.15" customHeight="1">
      <c r="B58" s="103" t="s">
        <v>1422</v>
      </c>
      <c r="C58" s="118" t="s">
        <v>551</v>
      </c>
      <c r="D58" s="117" t="s">
        <v>1423</v>
      </c>
      <c r="E58" s="174" t="s">
        <v>779</v>
      </c>
      <c r="P58"/>
      <c r="Q58"/>
    </row>
    <row r="59" spans="1:17" ht="38.5" customHeight="1">
      <c r="B59" s="263" t="s">
        <v>610</v>
      </c>
      <c r="C59" s="263" t="s">
        <v>551</v>
      </c>
      <c r="D59" s="261" t="s">
        <v>780</v>
      </c>
      <c r="E59" s="216" t="s">
        <v>781</v>
      </c>
      <c r="P59"/>
      <c r="Q59"/>
    </row>
    <row r="60" spans="1:17" ht="38.5" customHeight="1">
      <c r="B60" s="264"/>
      <c r="C60" s="264"/>
      <c r="D60" s="282"/>
      <c r="E60" s="216" t="s">
        <v>782</v>
      </c>
      <c r="P60"/>
      <c r="Q60"/>
    </row>
    <row r="61" spans="1:17" ht="38.5" customHeight="1">
      <c r="B61" s="264"/>
      <c r="C61" s="264"/>
      <c r="D61" s="282"/>
      <c r="E61" s="216" t="s">
        <v>783</v>
      </c>
      <c r="P61"/>
      <c r="Q61"/>
    </row>
    <row r="62" spans="1:17" ht="38.5" customHeight="1">
      <c r="B62" s="265"/>
      <c r="C62" s="265"/>
      <c r="D62" s="262"/>
      <c r="E62" s="216" t="s">
        <v>784</v>
      </c>
      <c r="F62" s="215"/>
      <c r="P62"/>
      <c r="Q62"/>
    </row>
    <row r="63" spans="1:17" ht="150" customHeight="1">
      <c r="B63" s="117" t="s">
        <v>785</v>
      </c>
      <c r="C63" s="119" t="s">
        <v>551</v>
      </c>
      <c r="D63" s="103" t="s">
        <v>1257</v>
      </c>
      <c r="E63" s="227" t="s">
        <v>786</v>
      </c>
      <c r="P63"/>
      <c r="Q63"/>
    </row>
    <row r="64" spans="1:17" ht="150" customHeight="1">
      <c r="A64" s="76"/>
      <c r="B64" s="117" t="s">
        <v>770</v>
      </c>
      <c r="C64" s="119" t="s">
        <v>551</v>
      </c>
      <c r="D64" s="103" t="s">
        <v>1258</v>
      </c>
      <c r="E64" s="174" t="s">
        <v>771</v>
      </c>
      <c r="P64"/>
      <c r="Q64"/>
    </row>
    <row r="65" spans="16:17">
      <c r="P65"/>
      <c r="Q65"/>
    </row>
    <row r="66" spans="16:17">
      <c r="P66"/>
      <c r="Q66"/>
    </row>
    <row r="67" spans="16:17">
      <c r="P67"/>
      <c r="Q67"/>
    </row>
    <row r="68" spans="16:17">
      <c r="P68"/>
      <c r="Q68"/>
    </row>
  </sheetData>
  <mergeCells count="39">
    <mergeCell ref="B59:B62"/>
    <mergeCell ref="C59:C62"/>
    <mergeCell ref="D59:D62"/>
    <mergeCell ref="B48:B49"/>
    <mergeCell ref="C48:C49"/>
    <mergeCell ref="D48:D49"/>
    <mergeCell ref="B50:B52"/>
    <mergeCell ref="D50:D52"/>
    <mergeCell ref="C50:C52"/>
    <mergeCell ref="B53:B56"/>
    <mergeCell ref="D53:D56"/>
    <mergeCell ref="C53:C56"/>
    <mergeCell ref="B44:B45"/>
    <mergeCell ref="C44:C45"/>
    <mergeCell ref="D44:D45"/>
    <mergeCell ref="B46:B47"/>
    <mergeCell ref="C46:C47"/>
    <mergeCell ref="D46:D47"/>
    <mergeCell ref="B42:E42"/>
    <mergeCell ref="B13:E13"/>
    <mergeCell ref="B19:B21"/>
    <mergeCell ref="C19:C21"/>
    <mergeCell ref="D19:D21"/>
    <mergeCell ref="B31:B32"/>
    <mergeCell ref="D31:D32"/>
    <mergeCell ref="C31:C32"/>
    <mergeCell ref="B22:B24"/>
    <mergeCell ref="C22:C24"/>
    <mergeCell ref="D22:D24"/>
    <mergeCell ref="E23:E24"/>
    <mergeCell ref="B29:B30"/>
    <mergeCell ref="C29:C30"/>
    <mergeCell ref="D29:D30"/>
    <mergeCell ref="C4:C5"/>
    <mergeCell ref="C6:C8"/>
    <mergeCell ref="C9:C11"/>
    <mergeCell ref="B17:B18"/>
    <mergeCell ref="D17:D18"/>
    <mergeCell ref="C17:C18"/>
  </mergeCells>
  <conditionalFormatting sqref="A33:A37 A64">
    <cfRule type="containsText" dxfId="627" priority="11" operator="containsText" text="No Aplica">
      <formula>NOT(ISERROR(SEARCH("No Aplica",A33)))</formula>
    </cfRule>
    <cfRule type="containsText" dxfId="626" priority="12" operator="containsText" text="Seleccionar">
      <formula>NOT(ISERROR(SEARCH("Seleccionar",A33)))</formula>
    </cfRule>
    <cfRule type="containsText" dxfId="625" priority="13" operator="containsText" text="Parcialmente Cumple">
      <formula>NOT(ISERROR(SEARCH("Parcialmente Cumple",A33)))</formula>
    </cfRule>
    <cfRule type="containsText" dxfId="624" priority="14" operator="containsText" text="No Cumple">
      <formula>NOT(ISERROR(SEARCH("No Cumple",A33)))</formula>
    </cfRule>
    <cfRule type="beginsWith" dxfId="623" priority="15" operator="beginsWith" text="Cumple">
      <formula>LEFT(A33,LEN("Cumple"))="Cumple"</formula>
    </cfRule>
  </conditionalFormatting>
  <conditionalFormatting sqref="A39:A42">
    <cfRule type="containsText" dxfId="622" priority="6" operator="containsText" text="No Aplica">
      <formula>NOT(ISERROR(SEARCH("No Aplica",A39)))</formula>
    </cfRule>
    <cfRule type="containsText" dxfId="621" priority="7" operator="containsText" text="Seleccionar">
      <formula>NOT(ISERROR(SEARCH("Seleccionar",A39)))</formula>
    </cfRule>
    <cfRule type="containsText" dxfId="620" priority="8" operator="containsText" text="Parcialmente Cumple">
      <formula>NOT(ISERROR(SEARCH("Parcialmente Cumple",A39)))</formula>
    </cfRule>
    <cfRule type="containsText" dxfId="619" priority="9" operator="containsText" text="No Cumple">
      <formula>NOT(ISERROR(SEARCH("No Cumple",A39)))</formula>
    </cfRule>
    <cfRule type="beginsWith" dxfId="618" priority="10" operator="beginsWith" text="Cumple">
      <formula>LEFT(A39,LEN("Cumple"))="Cumple"</formula>
    </cfRule>
  </conditionalFormatting>
  <conditionalFormatting sqref="C3:C11">
    <cfRule type="containsText" dxfId="617" priority="61" operator="containsText" text="No Aplica">
      <formula>NOT(ISERROR(SEARCH("No Aplica",C3)))</formula>
    </cfRule>
    <cfRule type="containsText" dxfId="616" priority="62" operator="containsText" text="Pendiente">
      <formula>NOT(ISERROR(SEARCH("Pendiente",C3)))</formula>
    </cfRule>
    <cfRule type="containsText" dxfId="615" priority="63" operator="containsText" text="Parcialmente Cumple">
      <formula>NOT(ISERROR(SEARCH("Parcialmente Cumple",C3)))</formula>
    </cfRule>
    <cfRule type="containsText" dxfId="614" priority="64" operator="containsText" text="No Cumple">
      <formula>NOT(ISERROR(SEARCH("No Cumple",C3)))</formula>
    </cfRule>
    <cfRule type="beginsWith" dxfId="613" priority="65" operator="beginsWith" text="Cumple">
      <formula>LEFT(C3,LEN("Cumple"))="Cumple"</formula>
    </cfRule>
  </conditionalFormatting>
  <conditionalFormatting sqref="D14:D19">
    <cfRule type="containsText" dxfId="612" priority="46" operator="containsText" text="No Aplica">
      <formula>NOT(ISERROR(SEARCH("No Aplica",D14)))</formula>
    </cfRule>
    <cfRule type="containsText" dxfId="611" priority="47" operator="containsText" text="Pendiente">
      <formula>NOT(ISERROR(SEARCH("Pendiente",D14)))</formula>
    </cfRule>
    <cfRule type="containsText" dxfId="610" priority="48" operator="containsText" text="Parcialmente Cumple">
      <formula>NOT(ISERROR(SEARCH("Parcialmente Cumple",D14)))</formula>
    </cfRule>
    <cfRule type="containsText" dxfId="609" priority="49" operator="containsText" text="No Cumple">
      <formula>NOT(ISERROR(SEARCH("No Cumple",D14)))</formula>
    </cfRule>
    <cfRule type="beginsWith" dxfId="608" priority="50" operator="beginsWith" text="Cumple">
      <formula>LEFT(D14,LEN("Cumple"))="Cumple"</formula>
    </cfRule>
  </conditionalFormatting>
  <conditionalFormatting sqref="D25:D28">
    <cfRule type="containsText" dxfId="607" priority="76" operator="containsText" text="No Aplica">
      <formula>NOT(ISERROR(SEARCH("No Aplica",D25)))</formula>
    </cfRule>
    <cfRule type="containsText" dxfId="606" priority="77" operator="containsText" text="Pendiente">
      <formula>NOT(ISERROR(SEARCH("Pendiente",D25)))</formula>
    </cfRule>
    <cfRule type="containsText" dxfId="605" priority="78" operator="containsText" text="Parcialmente Cumple">
      <formula>NOT(ISERROR(SEARCH("Parcialmente Cumple",D25)))</formula>
    </cfRule>
    <cfRule type="containsText" dxfId="604" priority="79" operator="containsText" text="No Cumple">
      <formula>NOT(ISERROR(SEARCH("No Cumple",D25)))</formula>
    </cfRule>
    <cfRule type="beginsWith" dxfId="603" priority="80" operator="beginsWith" text="Cumple">
      <formula>LEFT(D25,LEN("Cumple"))="Cumple"</formula>
    </cfRule>
  </conditionalFormatting>
  <conditionalFormatting sqref="D31:D32">
    <cfRule type="containsText" dxfId="602" priority="71" operator="containsText" text="No Aplica">
      <formula>NOT(ISERROR(SEARCH("No Aplica",D31)))</formula>
    </cfRule>
    <cfRule type="containsText" dxfId="601" priority="72" operator="containsText" text="Pendiente">
      <formula>NOT(ISERROR(SEARCH("Pendiente",D31)))</formula>
    </cfRule>
    <cfRule type="containsText" dxfId="600" priority="73" operator="containsText" text="Parcialmente Cumple">
      <formula>NOT(ISERROR(SEARCH("Parcialmente Cumple",D31)))</formula>
    </cfRule>
    <cfRule type="containsText" dxfId="599" priority="74" operator="containsText" text="No Cumple">
      <formula>NOT(ISERROR(SEARCH("No Cumple",D31)))</formula>
    </cfRule>
    <cfRule type="beginsWith" dxfId="598" priority="75" operator="beginsWith" text="Cumple">
      <formula>LEFT(D31,LEN("Cumple"))="Cumple"</formula>
    </cfRule>
  </conditionalFormatting>
  <conditionalFormatting sqref="D43">
    <cfRule type="containsText" dxfId="597" priority="37" operator="containsText" text="Pendiente">
      <formula>NOT(ISERROR(SEARCH("Pendiente",D43)))</formula>
    </cfRule>
    <cfRule type="containsText" dxfId="596" priority="38" operator="containsText" text="Parcialmente Cumple">
      <formula>NOT(ISERROR(SEARCH("Parcialmente Cumple",D43)))</formula>
    </cfRule>
    <cfRule type="containsText" dxfId="595" priority="39" operator="containsText" text="No Cumple">
      <formula>NOT(ISERROR(SEARCH("No Cumple",D43)))</formula>
    </cfRule>
    <cfRule type="beginsWith" dxfId="594" priority="40" operator="beginsWith" text="Cumple">
      <formula>LEFT(D43,LEN("Cumple"))="Cumple"</formula>
    </cfRule>
  </conditionalFormatting>
  <conditionalFormatting sqref="D43:E43">
    <cfRule type="containsText" dxfId="593" priority="36" operator="containsText" text="No Aplica">
      <formula>NOT(ISERROR(SEARCH("No Aplica",D43)))</formula>
    </cfRule>
  </conditionalFormatting>
  <conditionalFormatting sqref="E14">
    <cfRule type="containsText" dxfId="592" priority="51" operator="containsText" text="No Aplica">
      <formula>NOT(ISERROR(SEARCH("No Aplica",E14)))</formula>
    </cfRule>
    <cfRule type="containsText" dxfId="591" priority="52" operator="containsText" text="Seleccionar">
      <formula>NOT(ISERROR(SEARCH("Seleccionar",E14)))</formula>
    </cfRule>
    <cfRule type="containsText" dxfId="590" priority="53" operator="containsText" text="Parcialmente Cumple">
      <formula>NOT(ISERROR(SEARCH("Parcialmente Cumple",E14)))</formula>
    </cfRule>
    <cfRule type="containsText" dxfId="589" priority="54" operator="containsText" text="No Cumple">
      <formula>NOT(ISERROR(SEARCH("No Cumple",E14)))</formula>
    </cfRule>
    <cfRule type="beginsWith" dxfId="588" priority="55" operator="beginsWith" text="Cumple">
      <formula>LEFT(E14,LEN("Cumple"))="Cumple"</formula>
    </cfRule>
  </conditionalFormatting>
  <conditionalFormatting sqref="E43">
    <cfRule type="containsText" dxfId="587" priority="42" operator="containsText" text="Seleccionar">
      <formula>NOT(ISERROR(SEARCH("Seleccionar",E43)))</formula>
    </cfRule>
    <cfRule type="containsText" dxfId="586" priority="43" operator="containsText" text="Parcialmente Cumple">
      <formula>NOT(ISERROR(SEARCH("Parcialmente Cumple",E43)))</formula>
    </cfRule>
    <cfRule type="containsText" dxfId="585" priority="44" operator="containsText" text="No Cumple">
      <formula>NOT(ISERROR(SEARCH("No Cumple",E43)))</formula>
    </cfRule>
    <cfRule type="beginsWith" dxfId="584" priority="45" operator="beginsWith" text="Cumple">
      <formula>LEFT(E43,LEN("Cumple"))="Cumple"</formula>
    </cfRule>
  </conditionalFormatting>
  <conditionalFormatting sqref="E44:E49">
    <cfRule type="containsText" dxfId="583" priority="21" operator="containsText" text="No Aplica">
      <formula>NOT(ISERROR(SEARCH("No Aplica",E44)))</formula>
    </cfRule>
    <cfRule type="containsText" dxfId="582" priority="22" operator="containsText" text="Seleccionar">
      <formula>NOT(ISERROR(SEARCH("Seleccionar",E44)))</formula>
    </cfRule>
    <cfRule type="containsText" dxfId="581" priority="23" operator="containsText" text="Parcialmente Cumple">
      <formula>NOT(ISERROR(SEARCH("Parcialmente Cumple",E44)))</formula>
    </cfRule>
    <cfRule type="containsText" dxfId="580" priority="24" operator="containsText" text="No Cumple">
      <formula>NOT(ISERROR(SEARCH("No Cumple",E44)))</formula>
    </cfRule>
    <cfRule type="beginsWith" dxfId="579" priority="25" operator="beginsWith" text="Cumple">
      <formula>LEFT(E44,LEN("Cumple"))="Cumple"</formula>
    </cfRule>
  </conditionalFormatting>
  <conditionalFormatting sqref="E59:E63">
    <cfRule type="containsText" dxfId="578" priority="1" operator="containsText" text="No Aplica">
      <formula>NOT(ISERROR(SEARCH("No Aplica",E59)))</formula>
    </cfRule>
    <cfRule type="containsText" dxfId="577" priority="2" operator="containsText" text="Seleccionar">
      <formula>NOT(ISERROR(SEARCH("Seleccionar",E59)))</formula>
    </cfRule>
    <cfRule type="containsText" dxfId="576" priority="3" operator="containsText" text="Parcialmente Cumple">
      <formula>NOT(ISERROR(SEARCH("Parcialmente Cumple",E59)))</formula>
    </cfRule>
    <cfRule type="containsText" dxfId="575" priority="4" operator="containsText" text="No Cumple">
      <formula>NOT(ISERROR(SEARCH("No Cumple",E59)))</formula>
    </cfRule>
    <cfRule type="beginsWith" dxfId="574" priority="5" operator="beginsWith" text="Cumple">
      <formula>LEFT(E59,LEN("Cumple"))="Cumple"</formula>
    </cfRule>
  </conditionalFormatting>
  <hyperlinks>
    <hyperlink ref="E57" r:id="rId1" display="https://icaen.gencat.cat/ca/energia/renovables/"/>
    <hyperlink ref="E58" r:id="rId2" display="Consulta más información sobre el capital humano"/>
    <hyperlink ref="E16" r:id="rId3" display="Consulta información sobre ISO 9001"/>
    <hyperlink ref="E18" r:id="rId4" display="Consulta información sobre ISO 14001"/>
    <hyperlink ref="E19" r:id="rId5" display="Consulta más información sobre el CSRD"/>
    <hyperlink ref="E20" r:id="rId6" display="Consulta ley 11/2018"/>
    <hyperlink ref="E21" r:id="rId7" display="Consulta más información sobre el marco GRI"/>
    <hyperlink ref="E25" r:id="rId8" display="Consulta el Documento de Referencia sobre las mejores tecnologías disponibles en términos de eficiencia energética"/>
    <hyperlink ref="E28" r:id="rId9" display="Consulta el Real Decreto 901/2020"/>
    <hyperlink ref="E29" r:id="rId10" display="Consulta Ley 7/2022"/>
    <hyperlink ref="E31" r:id="rId11" display="Consulta ISO 20400:2017 sobre adquisición sostenible"/>
    <hyperlink ref="E50" r:id="rId12" location="286-290-wpfd-breeam-es-nueva-construccion" display="Consulta los requisitos del marco BREEAM"/>
    <hyperlink ref="E51" r:id="rId13" display="Consulta los requisitos del marco LEED"/>
    <hyperlink ref="E52" r:id="rId14" display="Consulta información sobre GBCE.ES"/>
    <hyperlink ref="E54" r:id="rId15" display="Consulta el estandar Cradle to Cradle"/>
    <hyperlink ref="E53" r:id="rId16" display="Consulta el Plan de Acción para la economía Circular (UE)"/>
    <hyperlink ref="E56" r:id="rId17" display="Consulta información sobre la Economía Circular (Fundación Ellen McArthur)"/>
    <hyperlink ref="E17" r:id="rId18" display="Consulta informació sobre EMAS"/>
    <hyperlink ref="E32" r:id="rId19" display="Consulta información sobre las ecoetiquetas de la UE"/>
    <hyperlink ref="E26" r:id="rId20" display="https://act.gencat.cat/wp-content/uploads/2019/05/CAT-ACT-POL%C3%8DTICA-DE-PRIVACITAT.pdf"/>
    <hyperlink ref="E44" r:id="rId21" display="https://eur-lex.europa.eu/legal-content/ES/TXT/PDF/?uri=CELEX:32020R0852"/>
    <hyperlink ref="E46" r:id="rId22" display="https://eur-lex.europa.eu/legal-content/ES/TXT/PDF/?uri=CELEX:32020R0852"/>
    <hyperlink ref="E48" r:id="rId23" display="https://eur-lex.europa.eu/legal-content/ES/TXT/PDF/?uri=CELEX:32020R0852"/>
    <hyperlink ref="E27" r:id="rId24" display="Consulta un exemple de codi de conducta/ètica de proveïdors"/>
    <hyperlink ref="E15" r:id="rId25" display="Consulta més informació sobre el codi de conducta"/>
    <hyperlink ref="E59" r:id="rId26" display="Consulta informació sobre el DGQA específic per a productes i sistemes que afavoreixen l'estalvi d'aigua"/>
    <hyperlink ref="E45" r:id="rId27"/>
    <hyperlink ref="E47" r:id="rId28" display="Consulta els criteris tècnics de selecció per la consideració de quan una activitat econòmica contribueix a la mitigació o a l'adaptació al canvi climàtic"/>
    <hyperlink ref="E49" r:id="rId29" display="Consulta els criteris tècnics de selecció per la consideració de quan una activitat econòmica contribueix a la mitigació o a l'adaptació al canvi climàtic"/>
    <hyperlink ref="E33" r:id="rId30" display="https://treball.gencat.cat/ca/ambits/seguretat_i_salut_laboral/ci_/pla-govern/"/>
    <hyperlink ref="E34" r:id="rId31" display="https://cido.diba.cat/legislacio/12275944/acord-gov1452021-de-21-de-setembre-pel-qual-saprova-la-politica-de-ciberseguretat-de-la-generalitat-de-catalunya-departament-de-la-vicepresidencia-i-de-politiques-digitals-i-territori"/>
    <hyperlink ref="E35" r:id="rId32" display="https://dogc.gencat.cat/ca/document-del-dogc/?documentId=966011"/>
    <hyperlink ref="E64" r:id="rId33" display="https://serveiocupacio.gencat.cat/ca/soc/qui-som-que-fem/fons-social-europeu/programes-operatius-2021-2027/Programa-FSE-Catalunya-2021-2027/index.html"/>
    <hyperlink ref="E36" r:id="rId34" display="https://apdcat.gencat.cat/ca/drets_i_obligacions/rgpd"/>
    <hyperlink ref="E37" r:id="rId35" display="https://govern.cat/gov/pla-govern?eix=0&amp;ambit=1"/>
    <hyperlink ref="E38" r:id="rId36" display="https://canalempresa.gencat.cat/ca/01_que_voleu_fer/mesuresempresesiautonoms/mesures-economiques-i-socials-per-a-empreses-i-autonoms/ajuts-i-prestacions-per-empreses-i-autonoms/digitalitzacio-i-teletreball-per-a-pimes-i-autonoms/index.html"/>
    <hyperlink ref="E63" r:id="rId37" display="https://portaljuridic.gencat.cat/ca/document-del-pjur/?documentId=792545"/>
    <hyperlink ref="E22" r:id="rId38" display="Consulta información sobre el GHG Protocol"/>
    <hyperlink ref="E23" r:id="rId39" display="https://canviclimatic.gencat.cat/ca/oficina/index.html"/>
    <hyperlink ref="E60:E62" r:id="rId40" display="Consulta informació sobre el DGQA específic per a productes i sistemes que afavoreixen l'estalvi d'aigua"/>
    <hyperlink ref="E60" r:id="rId41"/>
    <hyperlink ref="E61" r:id="rId42"/>
    <hyperlink ref="E62" r:id="rId43"/>
    <hyperlink ref="E55" r:id="rId44"/>
    <hyperlink ref="E30" r:id="rId45"/>
    <hyperlink ref="E39" r:id="rId46" display="https://fonseuropeus.gencat.cat/ca/ris3cat/2030/index.html"/>
  </hyperlinks>
  <pageMargins left="0.7" right="0.7" top="0.75" bottom="0.75" header="0.3" footer="0.3"/>
  <pageSetup paperSize="9" orientation="portrait" r:id="rId4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tabColor theme="9" tint="0.39997558519241921"/>
  </sheetPr>
  <dimension ref="A1:AO51"/>
  <sheetViews>
    <sheetView showGridLines="0" zoomScale="70" zoomScaleNormal="70" workbookViewId="0">
      <selection activeCell="D4" sqref="D4"/>
    </sheetView>
  </sheetViews>
  <sheetFormatPr defaultColWidth="11.453125" defaultRowHeight="12.5"/>
  <cols>
    <col min="1" max="1" width="15.453125" customWidth="1"/>
    <col min="2" max="2" width="36.453125" customWidth="1"/>
    <col min="3" max="3" width="18.81640625" customWidth="1"/>
    <col min="4" max="7" width="65.54296875" customWidth="1"/>
    <col min="9" max="12" width="65.54296875" customWidth="1"/>
    <col min="13" max="13" width="43.453125" customWidth="1"/>
    <col min="14" max="14" width="31.453125" customWidth="1"/>
    <col min="15" max="15" width="19.54296875" customWidth="1"/>
    <col min="16" max="16" width="73.54296875" customWidth="1"/>
    <col min="17" max="17" width="19.26953125" style="24" customWidth="1"/>
    <col min="18" max="18" width="29.81640625" style="24" customWidth="1"/>
    <col min="19" max="24" width="43.453125" customWidth="1"/>
  </cols>
  <sheetData>
    <row r="1" spans="1:41" ht="112" customHeight="1">
      <c r="A1" s="78"/>
      <c r="D1" s="311" t="s">
        <v>1497</v>
      </c>
      <c r="E1" s="201" t="s">
        <v>1339</v>
      </c>
      <c r="S1" s="83"/>
      <c r="T1" s="87"/>
      <c r="U1" s="83"/>
      <c r="V1" s="86"/>
      <c r="W1" s="86"/>
      <c r="X1" s="83"/>
      <c r="Y1" s="83"/>
      <c r="Z1" s="83"/>
      <c r="AA1" s="83"/>
      <c r="AB1" s="83"/>
      <c r="AC1" s="83"/>
      <c r="AD1" s="83"/>
      <c r="AE1" s="83"/>
      <c r="AF1" s="83"/>
      <c r="AG1" s="83"/>
      <c r="AH1" s="83"/>
      <c r="AI1" s="84"/>
      <c r="AJ1" s="83"/>
      <c r="AK1" s="83"/>
      <c r="AL1" s="83"/>
      <c r="AM1" s="83"/>
      <c r="AN1" s="83"/>
      <c r="AO1" s="83"/>
    </row>
    <row r="2" spans="1:41" ht="30" customHeight="1">
      <c r="A2" s="78"/>
      <c r="E2" s="80"/>
      <c r="F2" s="86"/>
      <c r="G2" s="85"/>
      <c r="I2" s="86"/>
      <c r="J2" s="86"/>
      <c r="K2" s="86"/>
      <c r="L2" s="86"/>
      <c r="M2" s="83"/>
    </row>
    <row r="3" spans="1:41" ht="50.15" customHeight="1">
      <c r="A3" s="80"/>
      <c r="B3" s="79"/>
      <c r="C3" s="89"/>
      <c r="D3" s="159" t="s">
        <v>357</v>
      </c>
      <c r="E3" s="159" t="s">
        <v>358</v>
      </c>
      <c r="F3" s="159" t="s">
        <v>361</v>
      </c>
      <c r="G3" s="155" t="s">
        <v>415</v>
      </c>
      <c r="I3" s="113"/>
      <c r="K3" s="153"/>
      <c r="L3" s="153"/>
    </row>
    <row r="4" spans="1:41" ht="150" customHeight="1">
      <c r="B4" s="98" t="s">
        <v>423</v>
      </c>
      <c r="C4" s="266" t="s">
        <v>356</v>
      </c>
      <c r="D4" s="95" t="str">
        <f>HLOOKUP(D3,AUTO!$B$1:$AJ$2,2,FALSE)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E4" s="95" t="str">
        <f>HLOOKUP(E3,AUTO!$B$1:$AJ$2,2,FALSE)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F4" s="95" t="str">
        <f>HLOOKUP(F3,AUTO!$B$1:$AJ$2,2,FALSE)</f>
        <v>La gestió de residus perillosos i no perillosos és un àmbit en constant evolució normativa. L'adequada gestió de residus i materials perillosos és clau per reduir la contaminació causada per l'empresa o els productes que posa al mercat. Optimitzar el disseny i la producció i treballar paral·lelament a millorar la gestió de residus és clau per transicionar envers una economia circular que redueixi la necessitat d'explotació de nous recursos naturals. Per tant, les empreses que gestionen els seus residus i eviten la seva generació són més sostenibles i estan més alineades amb els principis de l'economia circular.</v>
      </c>
      <c r="G4" s="95" t="str">
        <f>HLOOKUP(G3,AUTO!$B$1:$AJ$2,2,FALSE)</f>
        <v xml:space="preserve">Les oportunitats de tecnologies/aplicacions sostenibles són rellevants en aquells sectors on hi ha tecnologies descarbonitzades que poden ajudar l'empresa a assolir els seus objectius de reducció d'emissons. Per exemple, la instal·lació de renovables en el sector d'energia o les aplicacions de tecnologies verdes a la construcció de nous edificis per al sector de l'edificació són oportunitats importants per diferenciar-se de la competència en termes de sostenibilitat. La sostenibilitat planteja moltes oportunitats que asseguren una reducció de les despeses de l'empresa a llarg termini.
</v>
      </c>
      <c r="K4" s="73"/>
      <c r="L4" s="73"/>
    </row>
    <row r="5" spans="1:41" ht="150" customHeight="1">
      <c r="B5" s="98" t="s">
        <v>456</v>
      </c>
      <c r="C5" s="267"/>
      <c r="D5" s="120" t="s">
        <v>787</v>
      </c>
      <c r="E5" s="120" t="s">
        <v>788</v>
      </c>
      <c r="F5" s="120" t="s">
        <v>790</v>
      </c>
      <c r="G5" s="120" t="s">
        <v>789</v>
      </c>
      <c r="K5" s="136"/>
    </row>
    <row r="6" spans="1:41" ht="50.15" customHeight="1">
      <c r="B6" s="110"/>
      <c r="C6" s="268" t="s">
        <v>369</v>
      </c>
      <c r="D6" s="156" t="s">
        <v>374</v>
      </c>
      <c r="E6" s="169" t="s">
        <v>376</v>
      </c>
      <c r="F6" s="147" t="s">
        <v>417</v>
      </c>
      <c r="G6" s="113"/>
    </row>
    <row r="7" spans="1:41" ht="150" customHeight="1">
      <c r="B7" s="98" t="s">
        <v>423</v>
      </c>
      <c r="C7" s="266"/>
      <c r="D7" s="115" t="str">
        <f>HLOOKUP(D6,AUTO!$B$1:$AJ$2,2,FALSE)</f>
        <v>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v>
      </c>
      <c r="E7" s="95" t="str">
        <f>HLOOKUP(E6,AUTO!$B$1:$AJ$2,2,FALSE)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c r="F7" s="95" t="str">
        <f>HLOOKUP(F6,AUTO!$B$1:$AJ$2,2,FALSE)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G7" s="73"/>
      <c r="I7" s="73"/>
    </row>
    <row r="8" spans="1:41" ht="150" customHeight="1">
      <c r="B8" s="98" t="s">
        <v>456</v>
      </c>
      <c r="C8" s="267"/>
      <c r="D8" s="120" t="s">
        <v>791</v>
      </c>
      <c r="E8" s="122" t="s">
        <v>792</v>
      </c>
      <c r="F8" s="192" t="s">
        <v>1194</v>
      </c>
      <c r="G8" s="136"/>
      <c r="I8" s="136"/>
    </row>
    <row r="9" spans="1:41" ht="50.15" customHeight="1">
      <c r="B9" s="99"/>
      <c r="C9" s="268" t="s">
        <v>383</v>
      </c>
      <c r="D9" s="106" t="s">
        <v>384</v>
      </c>
      <c r="E9" s="106" t="s">
        <v>388</v>
      </c>
      <c r="F9" s="160" t="s">
        <v>385</v>
      </c>
    </row>
    <row r="10" spans="1:41"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La gestió de les cadenes de subministrament és essencial per supervisar les externalitats ambientals i socials generades per les activitats dels proveïdors. Dins de les cadenes de valor, poden sorgir problemes relacionats amb la responsabilitat ambiental, els drets humans, les condicions laborals, l'ètica i la corrupció, entre altres aspectes. La gestió de les cadenes de subministrament pot implicar l'avaluació, selecció, seguiment i compromís amb els proveïdors amb l'objectiu de reduir i mitigar els impactes mediambientals i socials.</v>
      </c>
      <c r="F10" s="95" t="str">
        <f>HLOOKUP(F9,AUTO!$B$1:$AJ$2,2,FALSE)</f>
        <v>La competència responsable és crucial per combatre els monopolis i el lobbisme en les indústries. El seu objectiu principal és prevenir preus excessius, baixa qualitat en productes i serveis i d'altres irregularitats en el mercat. És essencial que qualsevol col·laboració entre empreses es realitzi de manera responsable i amb el propòsit de millorar els productes i serveis oferts als clients.</v>
      </c>
    </row>
    <row r="11" spans="1:41" ht="150" customHeight="1">
      <c r="A11" s="74"/>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793</v>
      </c>
      <c r="F11" s="120" t="s">
        <v>794</v>
      </c>
    </row>
    <row r="12" spans="1:41" ht="33.65" customHeight="1">
      <c r="A12" s="74"/>
      <c r="B12" s="180"/>
      <c r="C12" s="105"/>
      <c r="D12" s="136"/>
      <c r="E12" s="136"/>
    </row>
    <row r="13" spans="1:41" ht="50.15" customHeight="1">
      <c r="A13" s="78"/>
      <c r="B13" s="250" t="s">
        <v>633</v>
      </c>
      <c r="C13" s="251"/>
      <c r="D13" s="251"/>
      <c r="E13" s="252"/>
      <c r="P13" s="24"/>
      <c r="R13"/>
    </row>
    <row r="14" spans="1:41" ht="50.15" customHeight="1">
      <c r="A14" s="78"/>
      <c r="B14" s="197" t="s">
        <v>464</v>
      </c>
      <c r="C14" s="197" t="s">
        <v>548</v>
      </c>
      <c r="D14" s="197" t="s">
        <v>423</v>
      </c>
      <c r="E14" s="197" t="s">
        <v>634</v>
      </c>
      <c r="P14" s="24"/>
      <c r="R14"/>
    </row>
    <row r="15" spans="1:41" ht="150" customHeight="1">
      <c r="A15" s="78"/>
      <c r="B15" s="117" t="s">
        <v>550</v>
      </c>
      <c r="C15" s="118" t="s">
        <v>551</v>
      </c>
      <c r="D15" s="117" t="s">
        <v>552</v>
      </c>
      <c r="E15" s="111" t="s">
        <v>553</v>
      </c>
      <c r="P15" s="24"/>
      <c r="R15"/>
    </row>
    <row r="16" spans="1:41" ht="150" customHeight="1">
      <c r="B16" s="117" t="s">
        <v>1127</v>
      </c>
      <c r="C16" s="118" t="s">
        <v>551</v>
      </c>
      <c r="D16" s="117" t="s">
        <v>555</v>
      </c>
      <c r="E16" s="112" t="s">
        <v>556</v>
      </c>
      <c r="P16" s="24"/>
      <c r="R16"/>
    </row>
    <row r="17" spans="1:18" ht="75" customHeight="1">
      <c r="B17" s="253" t="s">
        <v>1345</v>
      </c>
      <c r="C17" s="256" t="s">
        <v>551</v>
      </c>
      <c r="D17" s="248" t="s">
        <v>557</v>
      </c>
      <c r="E17" s="111" t="s">
        <v>558</v>
      </c>
      <c r="P17" s="24"/>
      <c r="R17"/>
    </row>
    <row r="18" spans="1:18" ht="75" customHeight="1">
      <c r="B18" s="255"/>
      <c r="C18" s="258"/>
      <c r="D18" s="248"/>
      <c r="E18" s="112" t="s">
        <v>639</v>
      </c>
      <c r="P18" s="24"/>
      <c r="R18"/>
    </row>
    <row r="19" spans="1:18" ht="60" customHeight="1">
      <c r="B19" s="253" t="s">
        <v>560</v>
      </c>
      <c r="C19" s="256" t="s">
        <v>551</v>
      </c>
      <c r="D19" s="253" t="s">
        <v>861</v>
      </c>
      <c r="E19" s="112" t="s">
        <v>561</v>
      </c>
      <c r="Q19"/>
      <c r="R19"/>
    </row>
    <row r="20" spans="1:18" ht="60" customHeight="1">
      <c r="B20" s="254"/>
      <c r="C20" s="257"/>
      <c r="D20" s="254"/>
      <c r="E20" s="112" t="s">
        <v>562</v>
      </c>
      <c r="Q20"/>
      <c r="R20"/>
    </row>
    <row r="21" spans="1:18" ht="60" customHeight="1">
      <c r="B21" s="255"/>
      <c r="C21" s="258"/>
      <c r="D21" s="255"/>
      <c r="E21" s="112" t="s">
        <v>563</v>
      </c>
      <c r="Q21"/>
      <c r="R21"/>
    </row>
    <row r="22" spans="1:18" ht="80" customHeight="1">
      <c r="B22" s="253" t="s">
        <v>1370</v>
      </c>
      <c r="C22" s="263" t="s">
        <v>551</v>
      </c>
      <c r="D22" s="253" t="s">
        <v>1210</v>
      </c>
      <c r="E22" s="174" t="s">
        <v>676</v>
      </c>
      <c r="P22" s="24"/>
      <c r="R22"/>
    </row>
    <row r="23" spans="1:18" ht="80" customHeight="1">
      <c r="B23" s="255"/>
      <c r="C23" s="265"/>
      <c r="D23" s="255"/>
      <c r="E23" s="112" t="s">
        <v>582</v>
      </c>
      <c r="G23" s="203"/>
      <c r="P23" s="24"/>
      <c r="R23"/>
    </row>
    <row r="24" spans="1:18" ht="150" customHeight="1">
      <c r="B24" s="117" t="s">
        <v>567</v>
      </c>
      <c r="C24" s="118" t="s">
        <v>551</v>
      </c>
      <c r="D24" s="117" t="s">
        <v>568</v>
      </c>
      <c r="E24" s="112" t="s">
        <v>569</v>
      </c>
      <c r="Q24"/>
      <c r="R24"/>
    </row>
    <row r="25" spans="1:18" ht="150" customHeight="1">
      <c r="A25" s="78"/>
      <c r="B25" s="117" t="s">
        <v>1374</v>
      </c>
      <c r="C25" s="119" t="s">
        <v>1375</v>
      </c>
      <c r="D25" s="117" t="s">
        <v>707</v>
      </c>
      <c r="E25" s="111" t="s">
        <v>574</v>
      </c>
      <c r="F25" s="86"/>
      <c r="I25" s="86"/>
      <c r="J25" s="86"/>
      <c r="K25" s="86"/>
      <c r="L25" s="83"/>
      <c r="M25" s="87"/>
      <c r="N25" s="83"/>
      <c r="O25" s="86"/>
      <c r="P25" s="86"/>
      <c r="Q25" s="83"/>
      <c r="R25"/>
    </row>
    <row r="26" spans="1:18" ht="50.15" customHeight="1">
      <c r="A26" s="80"/>
      <c r="B26" s="253" t="s">
        <v>795</v>
      </c>
      <c r="C26" s="263" t="s">
        <v>551</v>
      </c>
      <c r="D26" s="253" t="s">
        <v>1311</v>
      </c>
      <c r="E26" s="112" t="s">
        <v>715</v>
      </c>
      <c r="F26" s="140"/>
      <c r="I26" s="140"/>
      <c r="J26" s="140"/>
      <c r="Q26"/>
      <c r="R26"/>
    </row>
    <row r="27" spans="1:18" ht="50.15" customHeight="1">
      <c r="B27" s="269"/>
      <c r="C27" s="271"/>
      <c r="D27" s="269"/>
      <c r="E27" s="112" t="s">
        <v>796</v>
      </c>
      <c r="F27" s="73"/>
      <c r="I27" s="73"/>
      <c r="J27" s="73"/>
      <c r="Q27"/>
      <c r="R27"/>
    </row>
    <row r="28" spans="1:18" ht="50.15" customHeight="1">
      <c r="B28" s="269"/>
      <c r="C28" s="271"/>
      <c r="D28" s="269"/>
      <c r="E28" s="223" t="s">
        <v>1307</v>
      </c>
      <c r="F28" s="73"/>
      <c r="I28" s="73"/>
      <c r="J28" s="73"/>
      <c r="Q28"/>
      <c r="R28"/>
    </row>
    <row r="29" spans="1:18" ht="93.65" customHeight="1">
      <c r="B29" s="270"/>
      <c r="C29" s="272"/>
      <c r="D29" s="270"/>
      <c r="E29" s="112" t="s">
        <v>658</v>
      </c>
      <c r="F29" s="136"/>
      <c r="I29" s="136"/>
      <c r="J29" s="136"/>
      <c r="Q29"/>
      <c r="R29"/>
    </row>
    <row r="30" spans="1:18" ht="150" customHeight="1">
      <c r="B30" s="103" t="s">
        <v>1331</v>
      </c>
      <c r="C30" s="101" t="s">
        <v>551</v>
      </c>
      <c r="D30" s="103" t="s">
        <v>1344</v>
      </c>
      <c r="E30" s="174" t="s">
        <v>575</v>
      </c>
      <c r="F30" s="140"/>
      <c r="I30" s="140"/>
      <c r="Q30"/>
      <c r="R30"/>
    </row>
    <row r="31" spans="1:18" ht="110.5" customHeight="1">
      <c r="B31" s="261" t="s">
        <v>1212</v>
      </c>
      <c r="C31" s="259" t="s">
        <v>551</v>
      </c>
      <c r="D31" s="261" t="s">
        <v>1209</v>
      </c>
      <c r="E31" s="295" t="s">
        <v>581</v>
      </c>
      <c r="Q31"/>
      <c r="R31"/>
    </row>
    <row r="32" spans="1:18" ht="32.5" customHeight="1">
      <c r="B32" s="262"/>
      <c r="C32" s="260"/>
      <c r="D32" s="262"/>
      <c r="E32" s="296"/>
      <c r="Q32"/>
      <c r="R32"/>
    </row>
    <row r="33" spans="1:18" ht="150" customHeight="1">
      <c r="A33" s="76"/>
      <c r="B33" s="150" t="s">
        <v>1183</v>
      </c>
      <c r="C33" s="161" t="s">
        <v>551</v>
      </c>
      <c r="D33" s="150" t="s">
        <v>1227</v>
      </c>
      <c r="E33" s="216" t="s">
        <v>643</v>
      </c>
      <c r="Q33"/>
      <c r="R33"/>
    </row>
    <row r="34" spans="1:18" ht="150" customHeight="1">
      <c r="A34" s="76"/>
      <c r="B34" s="150" t="s">
        <v>585</v>
      </c>
      <c r="C34" s="161" t="s">
        <v>551</v>
      </c>
      <c r="D34" s="150" t="s">
        <v>1229</v>
      </c>
      <c r="E34" s="216" t="s">
        <v>586</v>
      </c>
      <c r="Q34"/>
      <c r="R34"/>
    </row>
    <row r="35" spans="1:18">
      <c r="P35" s="24"/>
      <c r="R35"/>
    </row>
    <row r="36" spans="1:18">
      <c r="P36" s="24"/>
      <c r="R36"/>
    </row>
    <row r="37" spans="1:18" ht="50.15" customHeight="1">
      <c r="B37" s="250" t="s">
        <v>797</v>
      </c>
      <c r="C37" s="251"/>
      <c r="D37" s="251"/>
      <c r="E37" s="252"/>
      <c r="P37" s="24"/>
      <c r="R37"/>
    </row>
    <row r="38" spans="1:18" ht="50.15" customHeight="1">
      <c r="B38" s="197" t="s">
        <v>464</v>
      </c>
      <c r="C38" s="197" t="s">
        <v>548</v>
      </c>
      <c r="D38" s="197" t="s">
        <v>423</v>
      </c>
      <c r="E38" s="197" t="s">
        <v>634</v>
      </c>
      <c r="P38" s="24"/>
      <c r="R38"/>
    </row>
    <row r="39" spans="1:18" ht="50.15" customHeight="1">
      <c r="B39" s="248" t="s">
        <v>1370</v>
      </c>
      <c r="C39" s="279" t="s">
        <v>551</v>
      </c>
      <c r="D39" s="248" t="s">
        <v>798</v>
      </c>
      <c r="E39" s="112" t="s">
        <v>799</v>
      </c>
      <c r="P39" s="24"/>
      <c r="R39"/>
    </row>
    <row r="40" spans="1:18" ht="50.15" customHeight="1">
      <c r="B40" s="248"/>
      <c r="C40" s="294"/>
      <c r="D40" s="248"/>
      <c r="E40" s="112" t="s">
        <v>800</v>
      </c>
      <c r="P40" s="24"/>
      <c r="R40"/>
    </row>
    <row r="41" spans="1:18" ht="50.15" customHeight="1">
      <c r="B41" s="248"/>
      <c r="C41" s="294"/>
      <c r="D41" s="248"/>
      <c r="E41" s="174" t="s">
        <v>801</v>
      </c>
      <c r="P41" s="24"/>
      <c r="R41"/>
    </row>
    <row r="42" spans="1:18" ht="150" customHeight="1">
      <c r="B42" s="117" t="s">
        <v>1424</v>
      </c>
      <c r="C42" s="119" t="s">
        <v>551</v>
      </c>
      <c r="D42" s="117" t="s">
        <v>802</v>
      </c>
      <c r="E42" s="174" t="s">
        <v>803</v>
      </c>
      <c r="P42" s="24"/>
      <c r="R42"/>
    </row>
    <row r="43" spans="1:18" ht="150" customHeight="1">
      <c r="B43" s="117" t="s">
        <v>1425</v>
      </c>
      <c r="C43" s="119" t="s">
        <v>551</v>
      </c>
      <c r="D43" s="117" t="s">
        <v>804</v>
      </c>
      <c r="E43" s="174" t="s">
        <v>805</v>
      </c>
      <c r="P43" s="24"/>
      <c r="R43"/>
    </row>
    <row r="44" spans="1:18" ht="175" customHeight="1">
      <c r="B44" s="103" t="s">
        <v>1426</v>
      </c>
      <c r="C44" s="119" t="s">
        <v>551</v>
      </c>
      <c r="D44" s="117" t="s">
        <v>1427</v>
      </c>
      <c r="E44" s="174" t="s">
        <v>806</v>
      </c>
      <c r="G44" s="22"/>
      <c r="P44" s="24"/>
      <c r="R44"/>
    </row>
    <row r="45" spans="1:18" ht="76" customHeight="1">
      <c r="B45" s="253" t="s">
        <v>1216</v>
      </c>
      <c r="C45" s="263" t="s">
        <v>551</v>
      </c>
      <c r="D45" s="253" t="s">
        <v>807</v>
      </c>
      <c r="E45" s="174" t="s">
        <v>808</v>
      </c>
      <c r="P45" s="24"/>
      <c r="R45"/>
    </row>
    <row r="46" spans="1:18" ht="77.5" customHeight="1">
      <c r="B46" s="255"/>
      <c r="C46" s="265"/>
      <c r="D46" s="255"/>
      <c r="E46" s="227" t="s">
        <v>1329</v>
      </c>
      <c r="P46" s="24"/>
      <c r="R46"/>
    </row>
    <row r="47" spans="1:18" ht="165" customHeight="1">
      <c r="B47" s="103" t="s">
        <v>1428</v>
      </c>
      <c r="C47" s="119" t="s">
        <v>551</v>
      </c>
      <c r="D47" s="117" t="s">
        <v>809</v>
      </c>
      <c r="E47" s="112" t="s">
        <v>810</v>
      </c>
      <c r="P47" s="24"/>
      <c r="R47"/>
    </row>
    <row r="48" spans="1:18" ht="150" customHeight="1">
      <c r="A48" s="78"/>
      <c r="B48" s="117" t="s">
        <v>570</v>
      </c>
      <c r="C48" s="119" t="s">
        <v>551</v>
      </c>
      <c r="D48" s="117" t="s">
        <v>811</v>
      </c>
      <c r="E48" s="112" t="s">
        <v>812</v>
      </c>
      <c r="P48" s="24"/>
      <c r="R48"/>
    </row>
    <row r="49" spans="2:18" ht="150" customHeight="1">
      <c r="B49" s="117" t="s">
        <v>610</v>
      </c>
      <c r="C49" s="119" t="s">
        <v>551</v>
      </c>
      <c r="D49" s="117" t="s">
        <v>1429</v>
      </c>
      <c r="E49" s="112" t="s">
        <v>813</v>
      </c>
    </row>
    <row r="50" spans="2:18" ht="153" customHeight="1">
      <c r="B50" s="117" t="s">
        <v>1430</v>
      </c>
      <c r="C50" s="119" t="s">
        <v>551</v>
      </c>
      <c r="D50" s="117" t="s">
        <v>1259</v>
      </c>
      <c r="E50" s="174" t="s">
        <v>814</v>
      </c>
      <c r="P50" s="24"/>
      <c r="R50"/>
    </row>
    <row r="51" spans="2:18" ht="150" customHeight="1">
      <c r="B51" s="117" t="s">
        <v>1431</v>
      </c>
      <c r="C51" s="119" t="s">
        <v>551</v>
      </c>
      <c r="D51" s="117" t="s">
        <v>815</v>
      </c>
      <c r="E51" s="174" t="s">
        <v>816</v>
      </c>
    </row>
  </sheetData>
  <mergeCells count="27">
    <mergeCell ref="E31:E32"/>
    <mergeCell ref="B22:B23"/>
    <mergeCell ref="C22:C23"/>
    <mergeCell ref="D22:D23"/>
    <mergeCell ref="B17:B18"/>
    <mergeCell ref="D17:D18"/>
    <mergeCell ref="C17:C18"/>
    <mergeCell ref="D19:D21"/>
    <mergeCell ref="B31:B32"/>
    <mergeCell ref="C31:C32"/>
    <mergeCell ref="D31:D32"/>
    <mergeCell ref="B45:B46"/>
    <mergeCell ref="C45:C46"/>
    <mergeCell ref="D45:D46"/>
    <mergeCell ref="C4:C5"/>
    <mergeCell ref="C6:C8"/>
    <mergeCell ref="C9:C11"/>
    <mergeCell ref="B26:B29"/>
    <mergeCell ref="D26:D29"/>
    <mergeCell ref="C26:C29"/>
    <mergeCell ref="B13:E13"/>
    <mergeCell ref="B19:B21"/>
    <mergeCell ref="C19:C21"/>
    <mergeCell ref="B39:B41"/>
    <mergeCell ref="C39:C41"/>
    <mergeCell ref="D39:D41"/>
    <mergeCell ref="B37:E37"/>
  </mergeCells>
  <conditionalFormatting sqref="A33:A34">
    <cfRule type="containsText" dxfId="573" priority="6" operator="containsText" text="No Aplica">
      <formula>NOT(ISERROR(SEARCH("No Aplica",A33)))</formula>
    </cfRule>
    <cfRule type="containsText" dxfId="572" priority="7" operator="containsText" text="Seleccionar">
      <formula>NOT(ISERROR(SEARCH("Seleccionar",A33)))</formula>
    </cfRule>
    <cfRule type="containsText" dxfId="571" priority="8" operator="containsText" text="Parcialmente Cumple">
      <formula>NOT(ISERROR(SEARCH("Parcialmente Cumple",A33)))</formula>
    </cfRule>
    <cfRule type="containsText" dxfId="570" priority="9" operator="containsText" text="No Cumple">
      <formula>NOT(ISERROR(SEARCH("No Cumple",A33)))</formula>
    </cfRule>
    <cfRule type="beginsWith" dxfId="569" priority="10" operator="beginsWith" text="Cumple">
      <formula>LEFT(A33,LEN("Cumple"))="Cumple"</formula>
    </cfRule>
  </conditionalFormatting>
  <conditionalFormatting sqref="C3:C11">
    <cfRule type="containsText" dxfId="568" priority="76" operator="containsText" text="No Aplica">
      <formula>NOT(ISERROR(SEARCH("No Aplica",C3)))</formula>
    </cfRule>
    <cfRule type="containsText" dxfId="567" priority="77" operator="containsText" text="Pendiente">
      <formula>NOT(ISERROR(SEARCH("Pendiente",C3)))</formula>
    </cfRule>
    <cfRule type="containsText" dxfId="566" priority="78" operator="containsText" text="Parcialmente Cumple">
      <formula>NOT(ISERROR(SEARCH("Parcialmente Cumple",C3)))</formula>
    </cfRule>
    <cfRule type="containsText" dxfId="565" priority="79" operator="containsText" text="No Cumple">
      <formula>NOT(ISERROR(SEARCH("No Cumple",C3)))</formula>
    </cfRule>
    <cfRule type="beginsWith" dxfId="564" priority="80" operator="beginsWith" text="Cumple">
      <formula>LEFT(C3,LEN("Cumple"))="Cumple"</formula>
    </cfRule>
  </conditionalFormatting>
  <conditionalFormatting sqref="D14:D19">
    <cfRule type="containsText" dxfId="563" priority="21" operator="containsText" text="No Aplica">
      <formula>NOT(ISERROR(SEARCH("No Aplica",D14)))</formula>
    </cfRule>
    <cfRule type="containsText" dxfId="562" priority="22" operator="containsText" text="Pendiente">
      <formula>NOT(ISERROR(SEARCH("Pendiente",D14)))</formula>
    </cfRule>
    <cfRule type="containsText" dxfId="561" priority="23" operator="containsText" text="Parcialmente Cumple">
      <formula>NOT(ISERROR(SEARCH("Parcialmente Cumple",D14)))</formula>
    </cfRule>
    <cfRule type="containsText" dxfId="560" priority="24" operator="containsText" text="No Cumple">
      <formula>NOT(ISERROR(SEARCH("No Cumple",D14)))</formula>
    </cfRule>
    <cfRule type="beginsWith" dxfId="559" priority="25" operator="beginsWith" text="Cumple">
      <formula>LEFT(D14,LEN("Cumple"))="Cumple"</formula>
    </cfRule>
  </conditionalFormatting>
  <conditionalFormatting sqref="D24:D25">
    <cfRule type="containsText" dxfId="558" priority="51" operator="containsText" text="No Aplica">
      <formula>NOT(ISERROR(SEARCH("No Aplica",D24)))</formula>
    </cfRule>
    <cfRule type="containsText" dxfId="557" priority="52" operator="containsText" text="Pendiente">
      <formula>NOT(ISERROR(SEARCH("Pendiente",D24)))</formula>
    </cfRule>
    <cfRule type="containsText" dxfId="556" priority="53" operator="containsText" text="Parcialmente Cumple">
      <formula>NOT(ISERROR(SEARCH("Parcialmente Cumple",D24)))</formula>
    </cfRule>
    <cfRule type="containsText" dxfId="555" priority="54" operator="containsText" text="No Cumple">
      <formula>NOT(ISERROR(SEARCH("No Cumple",D24)))</formula>
    </cfRule>
    <cfRule type="beginsWith" dxfId="554" priority="55" operator="beginsWith" text="Cumple">
      <formula>LEFT(D24,LEN("Cumple"))="Cumple"</formula>
    </cfRule>
  </conditionalFormatting>
  <conditionalFormatting sqref="D31">
    <cfRule type="containsText" dxfId="553" priority="1" operator="containsText" text="No Aplica">
      <formula>NOT(ISERROR(SEARCH("No Aplica",D31)))</formula>
    </cfRule>
    <cfRule type="containsText" dxfId="552" priority="2" operator="containsText" text="Pendiente">
      <formula>NOT(ISERROR(SEARCH("Pendiente",D31)))</formula>
    </cfRule>
    <cfRule type="containsText" dxfId="551" priority="3" operator="containsText" text="Parcialmente Cumple">
      <formula>NOT(ISERROR(SEARCH("Parcialmente Cumple",D31)))</formula>
    </cfRule>
    <cfRule type="containsText" dxfId="550" priority="4" operator="containsText" text="No Cumple">
      <formula>NOT(ISERROR(SEARCH("No Cumple",D31)))</formula>
    </cfRule>
    <cfRule type="beginsWith" dxfId="549" priority="5" operator="beginsWith" text="Cumple">
      <formula>LEFT(D31,LEN("Cumple"))="Cumple"</formula>
    </cfRule>
  </conditionalFormatting>
  <conditionalFormatting sqref="D38">
    <cfRule type="containsText" dxfId="548" priority="12" operator="containsText" text="Pendiente">
      <formula>NOT(ISERROR(SEARCH("Pendiente",D38)))</formula>
    </cfRule>
    <cfRule type="containsText" dxfId="547" priority="13" operator="containsText" text="Parcialmente Cumple">
      <formula>NOT(ISERROR(SEARCH("Parcialmente Cumple",D38)))</formula>
    </cfRule>
    <cfRule type="containsText" dxfId="546" priority="14" operator="containsText" text="No Cumple">
      <formula>NOT(ISERROR(SEARCH("No Cumple",D38)))</formula>
    </cfRule>
    <cfRule type="beginsWith" dxfId="545" priority="15" operator="beginsWith" text="Cumple">
      <formula>LEFT(D38,LEN("Cumple"))="Cumple"</formula>
    </cfRule>
  </conditionalFormatting>
  <conditionalFormatting sqref="D38:F38">
    <cfRule type="containsText" dxfId="544" priority="11" operator="containsText" text="No Aplica">
      <formula>NOT(ISERROR(SEARCH("No Aplica",D38)))</formula>
    </cfRule>
  </conditionalFormatting>
  <conditionalFormatting sqref="E14:F14">
    <cfRule type="containsText" dxfId="543" priority="26" operator="containsText" text="No Aplica">
      <formula>NOT(ISERROR(SEARCH("No Aplica",E14)))</formula>
    </cfRule>
    <cfRule type="containsText" dxfId="542" priority="27" operator="containsText" text="Seleccionar">
      <formula>NOT(ISERROR(SEARCH("Seleccionar",E14)))</formula>
    </cfRule>
    <cfRule type="containsText" dxfId="541" priority="28" operator="containsText" text="Parcialmente Cumple">
      <formula>NOT(ISERROR(SEARCH("Parcialmente Cumple",E14)))</formula>
    </cfRule>
    <cfRule type="containsText" dxfId="540" priority="29" operator="containsText" text="No Cumple">
      <formula>NOT(ISERROR(SEARCH("No Cumple",E14)))</formula>
    </cfRule>
    <cfRule type="beginsWith" dxfId="539" priority="30" operator="beginsWith" text="Cumple">
      <formula>LEFT(E14,LEN("Cumple"))="Cumple"</formula>
    </cfRule>
  </conditionalFormatting>
  <conditionalFormatting sqref="E38:F38">
    <cfRule type="containsText" dxfId="538" priority="17" operator="containsText" text="Seleccionar">
      <formula>NOT(ISERROR(SEARCH("Seleccionar",E38)))</formula>
    </cfRule>
    <cfRule type="containsText" dxfId="537" priority="18" operator="containsText" text="Parcialmente Cumple">
      <formula>NOT(ISERROR(SEARCH("Parcialmente Cumple",E38)))</formula>
    </cfRule>
    <cfRule type="containsText" dxfId="536" priority="19" operator="containsText" text="No Cumple">
      <formula>NOT(ISERROR(SEARCH("No Cumple",E38)))</formula>
    </cfRule>
    <cfRule type="beginsWith" dxfId="535" priority="20" operator="beginsWith" text="Cumple">
      <formula>LEFT(E38,LEN("Cumple"))="Cumple"</formula>
    </cfRule>
  </conditionalFormatting>
  <hyperlinks>
    <hyperlink ref="E41" r:id="rId1" display="Consultar más información sobre Moves III - Catalunya"/>
    <hyperlink ref="E43" r:id="rId2" display="https://www.fullsdenginyeria.cat/els-reptes-de-tota-la-cadena-de-valor-de-lautomocio"/>
    <hyperlink ref="E45" r:id="rId3" display="Consulta información sobre la gestión de residuos"/>
    <hyperlink ref="E48" r:id="rId4" display="https://www.pactomundial.org/wp-content/uploads/2021/10/Codigo_conducta_proveedores.pdf"/>
    <hyperlink ref="E39" r:id="rId5" display="Consulta más información sobre Energías Renovables"/>
    <hyperlink ref="E40" r:id="rId6" display="Consulta más información sobre el Potencial de Calentamiento Global"/>
    <hyperlink ref="E47" r:id="rId7" display="Consulta el GDPR"/>
    <hyperlink ref="E42" r:id="rId8" display="Consulta información sobre las tendencias en el mercado hacía vehículos electricos"/>
    <hyperlink ref="E16" r:id="rId9" display="Consulta información sobre ISO 9001"/>
    <hyperlink ref="E18" r:id="rId10" display="Consulta información sobre ISO 14001"/>
    <hyperlink ref="E19" r:id="rId11" display="Consulta más información sobre el CSRD"/>
    <hyperlink ref="E20" r:id="rId12" display="Consulta ley 11/2018"/>
    <hyperlink ref="E21" r:id="rId13" display="Consulta más información sobre el marco GRI"/>
    <hyperlink ref="E22" r:id="rId14" display="Consulta información sobre el GHG Protocol"/>
    <hyperlink ref="E25" r:id="rId15" display="Consulta el Real Decreto 901/2020"/>
    <hyperlink ref="E30" r:id="rId16" display="Consulta Ley 7/2022"/>
    <hyperlink ref="E29" r:id="rId17" display="Consulta más información sobre la Economía Circular (Fundación Ellen McArthur)"/>
    <hyperlink ref="E26" r:id="rId18" display="Consulta el plan de Acción para la economía Circular (UE)"/>
    <hyperlink ref="E27" r:id="rId19" display="Consulta el sitio web de Cradle to Cradle"/>
    <hyperlink ref="E17" r:id="rId20" display="Consulta informació sobre EMAS"/>
    <hyperlink ref="E24" r:id="rId21" display="https://act.gencat.cat/wp-content/uploads/2019/05/CAT-ACT-POL%C3%8DTICA-DE-PRIVACITAT.pdf"/>
    <hyperlink ref="E44" r:id="rId22" display="https://dogc.gencat.cat/ca/document-del-dogc/?documentId=919590"/>
    <hyperlink ref="E15" r:id="rId23" display="Consulta més informació sobre el codi de conducta"/>
    <hyperlink ref="E49" r:id="rId24" display="Consulta informació sobre el DGQA específic per a vehicles"/>
    <hyperlink ref="E33" r:id="rId25" display="https://treball.gencat.cat/ca/ambits/seguretat_i_salut_laboral/ci_/pla-govern/"/>
    <hyperlink ref="E34" r:id="rId26" display="https://govern.cat/gov/pla-govern?eix=0&amp;ambit=1"/>
    <hyperlink ref="E50" r:id="rId27" display="https://empresa.gencat.cat/ca/treb_ambits_actuacio/seguretat-industrial/itv-automobil/seguretat-de-lautomobil/index.html"/>
    <hyperlink ref="E51" r:id="rId28" display="https://empresa.gencat.cat/ca/treb_ambits_actuacio/seguretat-industrial/agents-seguretat/tallers-reparacio-vehicles/vies-acces/"/>
    <hyperlink ref="E31" r:id="rId29" display="Consulta información sobre la iniciativa Lean and Green"/>
    <hyperlink ref="E23" r:id="rId30" display="https://canviclimatic.gencat.cat/ca/oficina/index.html"/>
    <hyperlink ref="E28" r:id="rId31"/>
    <hyperlink ref="E46" r:id="rId32"/>
  </hyperlinks>
  <pageMargins left="0.7" right="0.7" top="0.75" bottom="0.75" header="0.3" footer="0.3"/>
  <pageSetup paperSize="9" orientation="portrait" r:id="rId3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tabColor theme="9" tint="0.39997558519241921"/>
  </sheetPr>
  <dimension ref="A1:AN60"/>
  <sheetViews>
    <sheetView showGridLines="0" zoomScale="70" zoomScaleNormal="70" workbookViewId="0">
      <selection activeCell="E1" sqref="E1"/>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102" t="s">
        <v>1496</v>
      </c>
      <c r="E1" s="239" t="s">
        <v>817</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59" t="s">
        <v>365</v>
      </c>
      <c r="E3" s="159" t="s">
        <v>358</v>
      </c>
      <c r="F3" s="159" t="s">
        <v>357</v>
      </c>
      <c r="G3" s="154" t="s">
        <v>363</v>
      </c>
      <c r="H3" s="155" t="s">
        <v>1219</v>
      </c>
      <c r="I3" s="109" t="s">
        <v>415</v>
      </c>
      <c r="J3" s="153"/>
      <c r="K3" s="153"/>
    </row>
    <row r="4" spans="1:40" ht="150" customHeight="1">
      <c r="B4" s="98" t="s">
        <v>423</v>
      </c>
      <c r="C4" s="266" t="s">
        <v>356</v>
      </c>
      <c r="D4" s="95" t="str">
        <f>HLOOKUP(D3,AUTO!$B$1:$AJ$2,2,FALSE)</f>
        <v xml:space="preserve">El subministrament de matèries primeres és un tema crucial per a la sostenibilitat d'aquells sectors molt intensius en materials. Aquí les empreses haurien d'avaluar oportunitats per a una adquisició de matèries de manera sostenible amb proveïdors confiables i certificats i estratègies de recuperació de material que es pugui recuperar com a matèria primera. Aquest tema pot ser important tant per a empreses que adquireixen matèries primeres com per a empreses que adquireixen prefabricats o productes. Un exemple és la cadena de subministrament d'empreses alimentàries, on és obligatori poder demostrar que el producte utilitzat no prové de zones amb alta deforestació. </v>
      </c>
      <c r="E4" s="95" t="str">
        <f>HLOOKUP(E3,AUTO!$B$1:$AJ$2,2,FALSE)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F4" s="95" t="str">
        <f>HLOOKUP(F3,AUTO!$B$1:$AJ$2,2,FALSE)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G4" s="115" t="str">
        <f>HLOOKUP(G3,AUTO!$B$1:$AJ$2,2,FALSE)</f>
        <v>El disseny dels productes i els seus cicles de vida són molt importants per gestionar l'impacte mediambiental de l'empresa. L'ecodisseny pot facilitar la reparació i el manteniment del producte i millorar-ne la tria dels materials més adequats i la reuitilització. Un correcte ecodisseny assegura una reducció dels impactes en tot el cicle de vida del producte. Les empreses que tenen en compte els impactes durant tot el cicle de vida permeten reduir l'impacte total del producte o servei en l'ús de materials, disseny industrial, producció i gestió de residus. D'aquesta manera, les empreses s'adapten als esquemes de responsabilitat ampliada del productor o futures normatives enfocades a la circularitat de l'economia.</v>
      </c>
      <c r="H4" s="95" t="str">
        <f>HLOOKUP(H3,AUTO!$B$1:$AJ$2,2,FALSE)</f>
        <v xml:space="preserve">Els materials d'embalatge son part del dia a dia i en certs casos acaben a la natura. És important que el productor faci un exercici d'ecodisseny que asseguri el mínim ús de material i la màxima reciclabilitat. </v>
      </c>
      <c r="I4" s="95" t="str">
        <f>HLOOKUP(I3,AUTO!$B$1:$AJ$2,2,FALSE)</f>
        <v xml:space="preserve">Les oportunitats de tecnologies/aplicacions sostenibles són rellevants en aquells sectors on hi ha tecnologies descarbonitzades que poden ajudar l'empresa a assolir els seus objectius de reducció d'emissons. Per exemple, la instal·lació de renovables en el sector d'energia o les aplicacions de tecnologies verdes a la construcció de nous edificis per al sector de l'edificació són oportunitats importants per diferenciar-se de la competència en termes de sostenibilitat. La sostenibilitat planteja moltes oportunitats que asseguren una reducció de les despeses de l'empresa a llarg termini.
</v>
      </c>
      <c r="J4" s="73"/>
      <c r="K4" s="73"/>
    </row>
    <row r="5" spans="1:40" ht="150" customHeight="1">
      <c r="B5" s="98" t="s">
        <v>456</v>
      </c>
      <c r="C5" s="267"/>
      <c r="D5" s="120" t="s">
        <v>818</v>
      </c>
      <c r="E5" s="120" t="s">
        <v>819</v>
      </c>
      <c r="F5" s="120" t="s">
        <v>820</v>
      </c>
      <c r="G5" s="120" t="s">
        <v>821</v>
      </c>
      <c r="H5" s="120" t="s">
        <v>822</v>
      </c>
      <c r="I5" s="120" t="s">
        <v>823</v>
      </c>
      <c r="J5" s="136"/>
    </row>
    <row r="6" spans="1:40" ht="50.15" customHeight="1">
      <c r="B6" s="110"/>
      <c r="C6" s="268" t="s">
        <v>369</v>
      </c>
      <c r="D6" s="156" t="s">
        <v>374</v>
      </c>
      <c r="E6" s="156" t="s">
        <v>376</v>
      </c>
      <c r="F6" s="155" t="s">
        <v>373</v>
      </c>
      <c r="G6" s="160" t="s">
        <v>419</v>
      </c>
      <c r="H6" s="132" t="s">
        <v>417</v>
      </c>
    </row>
    <row r="7" spans="1:40" ht="150" customHeight="1">
      <c r="B7" s="98" t="s">
        <v>423</v>
      </c>
      <c r="C7" s="266"/>
      <c r="D7" s="95" t="str">
        <f>HLOOKUP(D6,AUTO!$B$1:$AJ$2,2,FALSE)</f>
        <v>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v>
      </c>
      <c r="E7" s="95" t="str">
        <f>HLOOKUP(E6,AUTO!$B$1:$AJ$2,2,FALSE)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c r="F7" s="95" t="str">
        <f>HLOOKUP(F6,AUTO!$B$1:$AJ$2,2,FALSE)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G7" s="95" t="str">
        <f>HLOOKUP(G6,AUTO!$B$1:$AJ$2,2,FALSE)</f>
        <v>El compromís dels empleats i la promoció de la diversitat i inclusió a l'empresa són temes socials de gran rellevància. Aquests aspectes asseguren que la força laboral sigui diversa i que s'ofereixin oportunitats sense discriminació, la qual cosa permet la inclusió de membres de les comunitats locals i els consumidors dels productes de l'empresa. Per fomentar el compromís, la diversitat i la inclusió en l'empresa, és fonamental establir polítiques antidiscriminatòries en el procés de reclutament i promoure una cultura corporativa inclusiva.</v>
      </c>
      <c r="H7" s="95" t="str">
        <f>HLOOKUP(H6,AUTO!$B$1:$AJ$2,2,FALSE)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row>
    <row r="8" spans="1:40" ht="150" customHeight="1">
      <c r="B8" s="98" t="s">
        <v>456</v>
      </c>
      <c r="C8" s="267"/>
      <c r="D8" s="133" t="s">
        <v>824</v>
      </c>
      <c r="E8" s="122" t="s">
        <v>825</v>
      </c>
      <c r="F8" s="120" t="s">
        <v>826</v>
      </c>
      <c r="G8" s="120" t="s">
        <v>827</v>
      </c>
      <c r="H8" s="192" t="s">
        <v>1194</v>
      </c>
    </row>
    <row r="9" spans="1:40" ht="50.15" customHeight="1">
      <c r="B9" s="99"/>
      <c r="C9" s="268" t="s">
        <v>383</v>
      </c>
      <c r="D9" s="106" t="s">
        <v>384</v>
      </c>
      <c r="E9" s="106" t="s">
        <v>388</v>
      </c>
      <c r="F9" s="135"/>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La gestió de les cadenes de subministrament és essencial per supervisar les externalitats ambientals i socials generades per les activitats dels proveïdors. Dins de les cadenes de valor, poden sorgir problemes relacionats amb la responsabilitat ambiental, els drets humans, les condicions laborals, l'ètica i la corrupció, entre altres aspectes. La gestió de les cadenes de subministrament pot implicar l'avaluació, selecció, seguiment i compromís amb els proveïdors amb l'objectiu de reduir i mitigar els impactes mediambientals i socials.</v>
      </c>
      <c r="F10" s="73"/>
    </row>
    <row r="11" spans="1:40" ht="150" customHeight="1">
      <c r="A11" s="74"/>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828</v>
      </c>
    </row>
    <row r="12" spans="1:40" ht="33.65" customHeight="1">
      <c r="A12" s="74"/>
      <c r="B12" s="180"/>
      <c r="C12" s="105"/>
      <c r="D12" s="136"/>
      <c r="E12" s="136"/>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829</v>
      </c>
      <c r="O16" s="24"/>
      <c r="Q16"/>
    </row>
    <row r="17" spans="1:17" ht="75" customHeight="1">
      <c r="B17" s="253" t="s">
        <v>1345</v>
      </c>
      <c r="C17" s="256" t="s">
        <v>551</v>
      </c>
      <c r="D17" s="248" t="s">
        <v>557</v>
      </c>
      <c r="E17" s="111" t="s">
        <v>558</v>
      </c>
      <c r="O17" s="24"/>
      <c r="Q17"/>
    </row>
    <row r="18" spans="1:17" ht="75" customHeight="1">
      <c r="B18" s="255"/>
      <c r="C18" s="258"/>
      <c r="D18" s="248"/>
      <c r="E18" s="112" t="s">
        <v>639</v>
      </c>
      <c r="O18" s="24"/>
      <c r="Q18"/>
    </row>
    <row r="19" spans="1:17" ht="60" customHeight="1">
      <c r="B19" s="253" t="s">
        <v>560</v>
      </c>
      <c r="C19" s="256" t="s">
        <v>551</v>
      </c>
      <c r="D19" s="253" t="s">
        <v>861</v>
      </c>
      <c r="E19" s="112" t="s">
        <v>561</v>
      </c>
      <c r="P19"/>
      <c r="Q19"/>
    </row>
    <row r="20" spans="1:17" ht="60" customHeight="1">
      <c r="B20" s="254"/>
      <c r="C20" s="257"/>
      <c r="D20" s="254"/>
      <c r="E20" s="112" t="s">
        <v>562</v>
      </c>
      <c r="P20"/>
      <c r="Q20"/>
    </row>
    <row r="21" spans="1:17" ht="60" customHeight="1">
      <c r="B21" s="255"/>
      <c r="C21" s="258"/>
      <c r="D21" s="255"/>
      <c r="E21" s="112" t="s">
        <v>563</v>
      </c>
      <c r="P21"/>
      <c r="Q21"/>
    </row>
    <row r="22" spans="1:17" ht="167.15" customHeight="1">
      <c r="B22" s="117" t="s">
        <v>1370</v>
      </c>
      <c r="C22" s="118" t="s">
        <v>551</v>
      </c>
      <c r="D22" s="103" t="s">
        <v>1210</v>
      </c>
      <c r="E22" s="174" t="s">
        <v>676</v>
      </c>
      <c r="O22" s="24"/>
      <c r="Q22"/>
    </row>
    <row r="23" spans="1:17" ht="150" customHeight="1">
      <c r="B23" s="117" t="s">
        <v>567</v>
      </c>
      <c r="C23" s="118" t="s">
        <v>551</v>
      </c>
      <c r="D23" s="117" t="s">
        <v>568</v>
      </c>
      <c r="E23" s="112" t="s">
        <v>569</v>
      </c>
      <c r="O23" s="24"/>
      <c r="Q23"/>
    </row>
    <row r="24" spans="1:17" ht="150" customHeight="1">
      <c r="A24" s="78"/>
      <c r="B24" s="117" t="s">
        <v>570</v>
      </c>
      <c r="C24" s="118" t="s">
        <v>551</v>
      </c>
      <c r="D24" s="117" t="s">
        <v>862</v>
      </c>
      <c r="E24" s="112" t="s">
        <v>641</v>
      </c>
      <c r="O24" s="24"/>
      <c r="Q24"/>
    </row>
    <row r="25" spans="1:17" ht="150" customHeight="1">
      <c r="A25" s="78"/>
      <c r="B25" s="117" t="s">
        <v>1374</v>
      </c>
      <c r="C25" s="119" t="s">
        <v>1375</v>
      </c>
      <c r="D25" s="117" t="s">
        <v>707</v>
      </c>
      <c r="E25" s="111" t="s">
        <v>574</v>
      </c>
      <c r="G25" s="86"/>
      <c r="H25" s="86"/>
      <c r="I25" s="86"/>
      <c r="J25" s="86"/>
      <c r="K25" s="83"/>
      <c r="L25" s="83"/>
      <c r="M25" s="87"/>
      <c r="N25" s="83"/>
      <c r="O25" s="86"/>
      <c r="P25" s="86"/>
      <c r="Q25" s="83"/>
    </row>
    <row r="26" spans="1:17" ht="150" customHeight="1">
      <c r="B26" s="103" t="s">
        <v>1331</v>
      </c>
      <c r="C26" s="118" t="s">
        <v>551</v>
      </c>
      <c r="D26" s="103" t="s">
        <v>1344</v>
      </c>
      <c r="E26" s="174" t="s">
        <v>575</v>
      </c>
      <c r="G26" s="140"/>
      <c r="H26" s="140"/>
      <c r="P26"/>
      <c r="Q26"/>
    </row>
    <row r="27" spans="1:17" ht="92.5" customHeight="1">
      <c r="B27" s="248" t="s">
        <v>1315</v>
      </c>
      <c r="C27" s="256" t="s">
        <v>551</v>
      </c>
      <c r="D27" s="248" t="s">
        <v>1420</v>
      </c>
      <c r="E27" s="174" t="s">
        <v>1297</v>
      </c>
      <c r="P27"/>
      <c r="Q27"/>
    </row>
    <row r="28" spans="1:17" ht="97.5" customHeight="1">
      <c r="B28" s="248"/>
      <c r="C28" s="258"/>
      <c r="D28" s="248"/>
      <c r="E28" s="174" t="s">
        <v>580</v>
      </c>
      <c r="P28"/>
      <c r="Q28"/>
    </row>
    <row r="29" spans="1:17" ht="150" customHeight="1">
      <c r="A29" s="76"/>
      <c r="B29" s="150" t="s">
        <v>1183</v>
      </c>
      <c r="C29" s="161" t="s">
        <v>551</v>
      </c>
      <c r="D29" s="150" t="s">
        <v>1227</v>
      </c>
      <c r="E29" s="221" t="s">
        <v>643</v>
      </c>
      <c r="P29"/>
      <c r="Q29"/>
    </row>
    <row r="30" spans="1:17" ht="150" customHeight="1">
      <c r="B30" s="150" t="s">
        <v>768</v>
      </c>
      <c r="C30" s="161" t="s">
        <v>551</v>
      </c>
      <c r="D30" s="150" t="s">
        <v>1252</v>
      </c>
      <c r="E30" s="216" t="s">
        <v>769</v>
      </c>
      <c r="P30"/>
      <c r="Q30"/>
    </row>
    <row r="31" spans="1:17" ht="150" customHeight="1">
      <c r="B31" s="150" t="s">
        <v>772</v>
      </c>
      <c r="C31" s="161" t="s">
        <v>551</v>
      </c>
      <c r="D31" s="150" t="s">
        <v>1254</v>
      </c>
      <c r="E31" s="216" t="s">
        <v>773</v>
      </c>
      <c r="P31"/>
      <c r="Q31"/>
    </row>
    <row r="32" spans="1:17" ht="150" customHeight="1">
      <c r="A32" s="76"/>
      <c r="B32" s="150" t="s">
        <v>585</v>
      </c>
      <c r="C32" s="161" t="s">
        <v>551</v>
      </c>
      <c r="D32" s="150" t="s">
        <v>1229</v>
      </c>
      <c r="E32" s="216" t="s">
        <v>586</v>
      </c>
      <c r="P32"/>
      <c r="Q32"/>
    </row>
    <row r="33" spans="1:17">
      <c r="P33"/>
      <c r="Q33"/>
    </row>
    <row r="34" spans="1:17">
      <c r="P34"/>
      <c r="Q34"/>
    </row>
    <row r="35" spans="1:17" ht="50.15" customHeight="1">
      <c r="B35" s="250" t="s">
        <v>830</v>
      </c>
      <c r="C35" s="251"/>
      <c r="D35" s="251"/>
      <c r="E35" s="252"/>
      <c r="P35"/>
      <c r="Q35"/>
    </row>
    <row r="36" spans="1:17" ht="50.15" customHeight="1">
      <c r="B36" s="197" t="s">
        <v>464</v>
      </c>
      <c r="C36" s="197" t="s">
        <v>548</v>
      </c>
      <c r="D36" s="197" t="s">
        <v>423</v>
      </c>
      <c r="E36" s="197" t="s">
        <v>634</v>
      </c>
      <c r="P36"/>
      <c r="Q36"/>
    </row>
    <row r="37" spans="1:17" ht="50.15" customHeight="1">
      <c r="B37" s="253" t="s">
        <v>1407</v>
      </c>
      <c r="C37" s="263" t="s">
        <v>551</v>
      </c>
      <c r="D37" s="253" t="s">
        <v>831</v>
      </c>
      <c r="E37" s="112" t="s">
        <v>799</v>
      </c>
      <c r="P37"/>
      <c r="Q37"/>
    </row>
    <row r="38" spans="1:17" ht="50.15" customHeight="1">
      <c r="B38" s="254"/>
      <c r="C38" s="264"/>
      <c r="D38" s="254"/>
      <c r="E38" s="112" t="s">
        <v>800</v>
      </c>
      <c r="P38"/>
      <c r="Q38"/>
    </row>
    <row r="39" spans="1:17" ht="50.15" customHeight="1">
      <c r="B39" s="254"/>
      <c r="C39" s="264"/>
      <c r="D39" s="254"/>
      <c r="E39" s="112" t="s">
        <v>832</v>
      </c>
      <c r="P39"/>
      <c r="Q39"/>
    </row>
    <row r="40" spans="1:17" ht="50.15" customHeight="1">
      <c r="B40" s="255"/>
      <c r="C40" s="265"/>
      <c r="D40" s="255"/>
      <c r="E40" s="112" t="s">
        <v>582</v>
      </c>
      <c r="P40"/>
      <c r="Q40"/>
    </row>
    <row r="41" spans="1:17" ht="188.15" customHeight="1">
      <c r="B41" s="117" t="s">
        <v>1425</v>
      </c>
      <c r="C41" s="119" t="s">
        <v>551</v>
      </c>
      <c r="D41" s="117" t="s">
        <v>833</v>
      </c>
      <c r="E41" s="112" t="s">
        <v>834</v>
      </c>
      <c r="P41"/>
      <c r="Q41"/>
    </row>
    <row r="42" spans="1:17" ht="172" customHeight="1">
      <c r="B42" s="117" t="s">
        <v>1426</v>
      </c>
      <c r="C42" s="119" t="s">
        <v>551</v>
      </c>
      <c r="D42" s="117" t="s">
        <v>1197</v>
      </c>
      <c r="E42" s="112" t="s">
        <v>835</v>
      </c>
      <c r="P42"/>
      <c r="Q42"/>
    </row>
    <row r="43" spans="1:17" ht="50.15" customHeight="1">
      <c r="A43" s="76"/>
      <c r="B43" s="253" t="s">
        <v>1347</v>
      </c>
      <c r="C43" s="263" t="s">
        <v>551</v>
      </c>
      <c r="D43" s="253" t="s">
        <v>836</v>
      </c>
      <c r="E43" s="112" t="s">
        <v>837</v>
      </c>
      <c r="P43"/>
      <c r="Q43"/>
    </row>
    <row r="44" spans="1:17" ht="50.15" customHeight="1">
      <c r="A44" s="73"/>
      <c r="B44" s="254"/>
      <c r="C44" s="264"/>
      <c r="D44" s="254"/>
      <c r="E44" s="112" t="s">
        <v>838</v>
      </c>
      <c r="P44"/>
      <c r="Q44"/>
    </row>
    <row r="45" spans="1:17" ht="50.15" customHeight="1">
      <c r="A45" s="73"/>
      <c r="B45" s="255"/>
      <c r="C45" s="265"/>
      <c r="D45" s="255"/>
      <c r="E45" s="112" t="s">
        <v>839</v>
      </c>
      <c r="P45"/>
      <c r="Q45"/>
    </row>
    <row r="46" spans="1:17" ht="75" customHeight="1">
      <c r="B46" s="248" t="s">
        <v>1216</v>
      </c>
      <c r="C46" s="279" t="s">
        <v>551</v>
      </c>
      <c r="D46" s="248" t="s">
        <v>840</v>
      </c>
      <c r="E46" s="112" t="s">
        <v>841</v>
      </c>
      <c r="P46"/>
      <c r="Q46"/>
    </row>
    <row r="47" spans="1:17" ht="75" customHeight="1">
      <c r="B47" s="248"/>
      <c r="C47" s="294"/>
      <c r="D47" s="248"/>
      <c r="E47" s="174" t="s">
        <v>842</v>
      </c>
      <c r="P47"/>
      <c r="Q47"/>
    </row>
    <row r="48" spans="1:17" ht="171.65" customHeight="1">
      <c r="B48" s="117" t="s">
        <v>1428</v>
      </c>
      <c r="C48" s="119" t="s">
        <v>551</v>
      </c>
      <c r="D48" s="117" t="s">
        <v>843</v>
      </c>
      <c r="E48" s="112" t="s">
        <v>844</v>
      </c>
      <c r="P48"/>
      <c r="Q48"/>
    </row>
    <row r="49" spans="1:17" ht="75" customHeight="1">
      <c r="B49" s="248" t="s">
        <v>1432</v>
      </c>
      <c r="C49" s="294" t="s">
        <v>551</v>
      </c>
      <c r="D49" s="248" t="s">
        <v>845</v>
      </c>
      <c r="E49" s="174" t="s">
        <v>846</v>
      </c>
      <c r="P49"/>
      <c r="Q49"/>
    </row>
    <row r="50" spans="1:17" ht="75" customHeight="1">
      <c r="B50" s="248"/>
      <c r="C50" s="294"/>
      <c r="D50" s="248"/>
      <c r="E50" s="174" t="s">
        <v>847</v>
      </c>
      <c r="P50"/>
      <c r="Q50"/>
    </row>
    <row r="51" spans="1:17" ht="60" customHeight="1">
      <c r="A51" s="80"/>
      <c r="B51" s="253" t="s">
        <v>795</v>
      </c>
      <c r="C51" s="263" t="s">
        <v>551</v>
      </c>
      <c r="D51" s="253" t="s">
        <v>1312</v>
      </c>
      <c r="E51" s="112" t="s">
        <v>715</v>
      </c>
      <c r="G51" s="140"/>
      <c r="H51" s="140"/>
      <c r="I51" s="140"/>
      <c r="P51"/>
      <c r="Q51"/>
    </row>
    <row r="52" spans="1:17" ht="60" customHeight="1">
      <c r="B52" s="269"/>
      <c r="C52" s="271"/>
      <c r="D52" s="269"/>
      <c r="E52" s="112" t="s">
        <v>848</v>
      </c>
      <c r="G52" s="73"/>
      <c r="H52" s="73"/>
      <c r="I52" s="73"/>
      <c r="P52"/>
      <c r="Q52"/>
    </row>
    <row r="53" spans="1:17" ht="60" customHeight="1">
      <c r="B53" s="269"/>
      <c r="C53" s="271"/>
      <c r="D53" s="269"/>
      <c r="E53" s="223" t="s">
        <v>1307</v>
      </c>
      <c r="G53" s="73"/>
      <c r="H53" s="73"/>
      <c r="I53" s="73"/>
      <c r="P53"/>
      <c r="Q53"/>
    </row>
    <row r="54" spans="1:17" ht="60" customHeight="1">
      <c r="B54" s="270"/>
      <c r="C54" s="272"/>
      <c r="D54" s="270"/>
      <c r="E54" s="112" t="s">
        <v>658</v>
      </c>
      <c r="G54" s="136"/>
      <c r="H54" s="136"/>
      <c r="I54" s="136"/>
      <c r="P54"/>
      <c r="Q54"/>
    </row>
    <row r="55" spans="1:17" ht="110.5" customHeight="1">
      <c r="B55" s="283" t="s">
        <v>1212</v>
      </c>
      <c r="C55" s="259" t="s">
        <v>551</v>
      </c>
      <c r="D55" s="261" t="s">
        <v>1209</v>
      </c>
      <c r="E55" s="295" t="s">
        <v>581</v>
      </c>
      <c r="P55"/>
      <c r="Q55"/>
    </row>
    <row r="56" spans="1:17" ht="32.5" customHeight="1">
      <c r="B56" s="297"/>
      <c r="C56" s="260"/>
      <c r="D56" s="262"/>
      <c r="E56" s="296"/>
      <c r="P56"/>
      <c r="Q56"/>
    </row>
    <row r="57" spans="1:17" ht="75" customHeight="1">
      <c r="B57" s="261" t="s">
        <v>610</v>
      </c>
      <c r="C57" s="283" t="s">
        <v>551</v>
      </c>
      <c r="D57" s="261" t="s">
        <v>611</v>
      </c>
      <c r="E57" s="220" t="s">
        <v>784</v>
      </c>
      <c r="P57"/>
      <c r="Q57"/>
    </row>
    <row r="58" spans="1:17" ht="75" customHeight="1">
      <c r="B58" s="282"/>
      <c r="C58" s="284"/>
      <c r="D58" s="282"/>
      <c r="E58" s="216" t="s">
        <v>849</v>
      </c>
      <c r="P58"/>
      <c r="Q58"/>
    </row>
    <row r="59" spans="1:17" ht="150" customHeight="1">
      <c r="B59" s="117" t="s">
        <v>1433</v>
      </c>
      <c r="C59" s="119" t="s">
        <v>551</v>
      </c>
      <c r="D59" s="117" t="s">
        <v>1260</v>
      </c>
      <c r="E59" s="174" t="s">
        <v>850</v>
      </c>
    </row>
    <row r="60" spans="1:17" ht="165.5" customHeight="1">
      <c r="B60" s="117" t="s">
        <v>1434</v>
      </c>
      <c r="C60" s="119" t="s">
        <v>551</v>
      </c>
      <c r="D60" s="117" t="s">
        <v>1261</v>
      </c>
      <c r="E60" s="174" t="s">
        <v>851</v>
      </c>
    </row>
  </sheetData>
  <mergeCells count="36">
    <mergeCell ref="B57:B58"/>
    <mergeCell ref="C57:C58"/>
    <mergeCell ref="D57:D58"/>
    <mergeCell ref="B55:B56"/>
    <mergeCell ref="C55:C56"/>
    <mergeCell ref="D55:D56"/>
    <mergeCell ref="E55:E56"/>
    <mergeCell ref="B37:B40"/>
    <mergeCell ref="C37:C40"/>
    <mergeCell ref="D37:D40"/>
    <mergeCell ref="C4:C5"/>
    <mergeCell ref="C6:C8"/>
    <mergeCell ref="C9:C11"/>
    <mergeCell ref="B51:B54"/>
    <mergeCell ref="D51:D54"/>
    <mergeCell ref="C51:C54"/>
    <mergeCell ref="D27:D28"/>
    <mergeCell ref="C27:C28"/>
    <mergeCell ref="B43:B45"/>
    <mergeCell ref="D43:D45"/>
    <mergeCell ref="C43:C45"/>
    <mergeCell ref="B49:B50"/>
    <mergeCell ref="C49:C50"/>
    <mergeCell ref="D49:D50"/>
    <mergeCell ref="B46:B47"/>
    <mergeCell ref="D46:D47"/>
    <mergeCell ref="B13:E13"/>
    <mergeCell ref="B35:E35"/>
    <mergeCell ref="B19:B21"/>
    <mergeCell ref="C19:C21"/>
    <mergeCell ref="D19:D21"/>
    <mergeCell ref="B17:B18"/>
    <mergeCell ref="D17:D18"/>
    <mergeCell ref="C17:C18"/>
    <mergeCell ref="B27:B28"/>
    <mergeCell ref="C46:C47"/>
  </mergeCells>
  <conditionalFormatting sqref="A29">
    <cfRule type="containsText" dxfId="534" priority="26" operator="containsText" text="No Aplica">
      <formula>NOT(ISERROR(SEARCH("No Aplica",A29)))</formula>
    </cfRule>
    <cfRule type="containsText" dxfId="533" priority="27" operator="containsText" text="Seleccionar">
      <formula>NOT(ISERROR(SEARCH("Seleccionar",A29)))</formula>
    </cfRule>
    <cfRule type="containsText" dxfId="532" priority="28" operator="containsText" text="Parcialmente Cumple">
      <formula>NOT(ISERROR(SEARCH("Parcialmente Cumple",A29)))</formula>
    </cfRule>
    <cfRule type="containsText" dxfId="531" priority="29" operator="containsText" text="No Cumple">
      <formula>NOT(ISERROR(SEARCH("No Cumple",A29)))</formula>
    </cfRule>
    <cfRule type="beginsWith" dxfId="530" priority="30" operator="beginsWith" text="Cumple">
      <formula>LEFT(A29,LEN("Cumple"))="Cumple"</formula>
    </cfRule>
  </conditionalFormatting>
  <conditionalFormatting sqref="A32">
    <cfRule type="containsText" dxfId="529" priority="21" operator="containsText" text="No Aplica">
      <formula>NOT(ISERROR(SEARCH("No Aplica",A32)))</formula>
    </cfRule>
    <cfRule type="containsText" dxfId="528" priority="22" operator="containsText" text="Seleccionar">
      <formula>NOT(ISERROR(SEARCH("Seleccionar",A32)))</formula>
    </cfRule>
    <cfRule type="containsText" dxfId="527" priority="23" operator="containsText" text="Parcialmente Cumple">
      <formula>NOT(ISERROR(SEARCH("Parcialmente Cumple",A32)))</formula>
    </cfRule>
    <cfRule type="containsText" dxfId="526" priority="24" operator="containsText" text="No Cumple">
      <formula>NOT(ISERROR(SEARCH("No Cumple",A32)))</formula>
    </cfRule>
    <cfRule type="beginsWith" dxfId="525" priority="25" operator="beginsWith" text="Cumple">
      <formula>LEFT(A32,LEN("Cumple"))="Cumple"</formula>
    </cfRule>
  </conditionalFormatting>
  <conditionalFormatting sqref="A43:A45">
    <cfRule type="containsText" dxfId="524" priority="141" operator="containsText" text="No Aplica">
      <formula>NOT(ISERROR(SEARCH("No Aplica",A43)))</formula>
    </cfRule>
    <cfRule type="containsText" dxfId="523" priority="142" operator="containsText" text="Seleccionar">
      <formula>NOT(ISERROR(SEARCH("Seleccionar",A43)))</formula>
    </cfRule>
    <cfRule type="containsText" dxfId="522" priority="143" operator="containsText" text="Parcialmente Cumple">
      <formula>NOT(ISERROR(SEARCH("Parcialmente Cumple",A43)))</formula>
    </cfRule>
    <cfRule type="containsText" dxfId="521" priority="144" operator="containsText" text="No Cumple">
      <formula>NOT(ISERROR(SEARCH("No Cumple",A43)))</formula>
    </cfRule>
    <cfRule type="beginsWith" dxfId="520" priority="145" operator="beginsWith" text="Cumple">
      <formula>LEFT(A43,LEN("Cumple"))="Cumple"</formula>
    </cfRule>
  </conditionalFormatting>
  <conditionalFormatting sqref="C3:C11">
    <cfRule type="containsText" dxfId="519" priority="101" operator="containsText" text="No Aplica">
      <formula>NOT(ISERROR(SEARCH("No Aplica",C3)))</formula>
    </cfRule>
    <cfRule type="containsText" dxfId="518" priority="102" operator="containsText" text="Pendiente">
      <formula>NOT(ISERROR(SEARCH("Pendiente",C3)))</formula>
    </cfRule>
    <cfRule type="containsText" dxfId="517" priority="103" operator="containsText" text="Parcialmente Cumple">
      <formula>NOT(ISERROR(SEARCH("Parcialmente Cumple",C3)))</formula>
    </cfRule>
    <cfRule type="containsText" dxfId="516" priority="104" operator="containsText" text="No Cumple">
      <formula>NOT(ISERROR(SEARCH("No Cumple",C3)))</formula>
    </cfRule>
    <cfRule type="beginsWith" dxfId="515" priority="105" operator="beginsWith" text="Cumple">
      <formula>LEFT(C3,LEN("Cumple"))="Cumple"</formula>
    </cfRule>
  </conditionalFormatting>
  <conditionalFormatting sqref="D14:D19">
    <cfRule type="containsText" dxfId="514" priority="41" operator="containsText" text="No Aplica">
      <formula>NOT(ISERROR(SEARCH("No Aplica",D14)))</formula>
    </cfRule>
    <cfRule type="containsText" dxfId="513" priority="42" operator="containsText" text="Pendiente">
      <formula>NOT(ISERROR(SEARCH("Pendiente",D14)))</formula>
    </cfRule>
    <cfRule type="containsText" dxfId="512" priority="43" operator="containsText" text="Parcialmente Cumple">
      <formula>NOT(ISERROR(SEARCH("Parcialmente Cumple",D14)))</formula>
    </cfRule>
    <cfRule type="containsText" dxfId="511" priority="44" operator="containsText" text="No Cumple">
      <formula>NOT(ISERROR(SEARCH("No Cumple",D14)))</formula>
    </cfRule>
    <cfRule type="beginsWith" dxfId="510" priority="45" operator="beginsWith" text="Cumple">
      <formula>LEFT(D14,LEN("Cumple"))="Cumple"</formula>
    </cfRule>
  </conditionalFormatting>
  <conditionalFormatting sqref="D23:D25">
    <cfRule type="containsText" dxfId="509" priority="71" operator="containsText" text="No Aplica">
      <formula>NOT(ISERROR(SEARCH("No Aplica",D23)))</formula>
    </cfRule>
    <cfRule type="containsText" dxfId="508" priority="72" operator="containsText" text="Pendiente">
      <formula>NOT(ISERROR(SEARCH("Pendiente",D23)))</formula>
    </cfRule>
    <cfRule type="containsText" dxfId="507" priority="73" operator="containsText" text="Parcialmente Cumple">
      <formula>NOT(ISERROR(SEARCH("Parcialmente Cumple",D23)))</formula>
    </cfRule>
    <cfRule type="containsText" dxfId="506" priority="74" operator="containsText" text="No Cumple">
      <formula>NOT(ISERROR(SEARCH("No Cumple",D23)))</formula>
    </cfRule>
    <cfRule type="beginsWith" dxfId="505" priority="75" operator="beginsWith" text="Cumple">
      <formula>LEFT(D23,LEN("Cumple"))="Cumple"</formula>
    </cfRule>
  </conditionalFormatting>
  <conditionalFormatting sqref="D27:D28">
    <cfRule type="containsText" dxfId="504" priority="66" operator="containsText" text="No Aplica">
      <formula>NOT(ISERROR(SEARCH("No Aplica",D27)))</formula>
    </cfRule>
    <cfRule type="containsText" dxfId="503" priority="67" operator="containsText" text="Pendiente">
      <formula>NOT(ISERROR(SEARCH("Pendiente",D27)))</formula>
    </cfRule>
    <cfRule type="containsText" dxfId="502" priority="68" operator="containsText" text="Parcialmente Cumple">
      <formula>NOT(ISERROR(SEARCH("Parcialmente Cumple",D27)))</formula>
    </cfRule>
    <cfRule type="containsText" dxfId="501" priority="69" operator="containsText" text="No Cumple">
      <formula>NOT(ISERROR(SEARCH("No Cumple",D27)))</formula>
    </cfRule>
    <cfRule type="beginsWith" dxfId="500" priority="70" operator="beginsWith" text="Cumple">
      <formula>LEFT(D27,LEN("Cumple"))="Cumple"</formula>
    </cfRule>
  </conditionalFormatting>
  <conditionalFormatting sqref="D36">
    <cfRule type="containsText" dxfId="499" priority="32" operator="containsText" text="Pendiente">
      <formula>NOT(ISERROR(SEARCH("Pendiente",D36)))</formula>
    </cfRule>
    <cfRule type="containsText" dxfId="498" priority="33" operator="containsText" text="Parcialmente Cumple">
      <formula>NOT(ISERROR(SEARCH("Parcialmente Cumple",D36)))</formula>
    </cfRule>
    <cfRule type="containsText" dxfId="497" priority="34" operator="containsText" text="No Cumple">
      <formula>NOT(ISERROR(SEARCH("No Cumple",D36)))</formula>
    </cfRule>
    <cfRule type="beginsWith" dxfId="496" priority="35" operator="beginsWith" text="Cumple">
      <formula>LEFT(D36,LEN("Cumple"))="Cumple"</formula>
    </cfRule>
  </conditionalFormatting>
  <conditionalFormatting sqref="D55">
    <cfRule type="containsText" dxfId="495" priority="11" operator="containsText" text="No Aplica">
      <formula>NOT(ISERROR(SEARCH("No Aplica",D55)))</formula>
    </cfRule>
    <cfRule type="containsText" dxfId="494" priority="12" operator="containsText" text="Pendiente">
      <formula>NOT(ISERROR(SEARCH("Pendiente",D55)))</formula>
    </cfRule>
    <cfRule type="containsText" dxfId="493" priority="13" operator="containsText" text="Parcialmente Cumple">
      <formula>NOT(ISERROR(SEARCH("Parcialmente Cumple",D55)))</formula>
    </cfRule>
    <cfRule type="containsText" dxfId="492" priority="14" operator="containsText" text="No Cumple">
      <formula>NOT(ISERROR(SEARCH("No Cumple",D55)))</formula>
    </cfRule>
    <cfRule type="beginsWith" dxfId="491" priority="15" operator="beginsWith" text="Cumple">
      <formula>LEFT(D55,LEN("Cumple"))="Cumple"</formula>
    </cfRule>
  </conditionalFormatting>
  <conditionalFormatting sqref="D36:E36">
    <cfRule type="containsText" dxfId="490" priority="31" operator="containsText" text="No Aplica">
      <formula>NOT(ISERROR(SEARCH("No Aplica",D36)))</formula>
    </cfRule>
  </conditionalFormatting>
  <conditionalFormatting sqref="E14">
    <cfRule type="containsText" dxfId="489" priority="46" operator="containsText" text="No Aplica">
      <formula>NOT(ISERROR(SEARCH("No Aplica",E14)))</formula>
    </cfRule>
    <cfRule type="containsText" dxfId="488" priority="47" operator="containsText" text="Seleccionar">
      <formula>NOT(ISERROR(SEARCH("Seleccionar",E14)))</formula>
    </cfRule>
    <cfRule type="containsText" dxfId="487" priority="48" operator="containsText" text="Parcialmente Cumple">
      <formula>NOT(ISERROR(SEARCH("Parcialmente Cumple",E14)))</formula>
    </cfRule>
    <cfRule type="containsText" dxfId="486" priority="49" operator="containsText" text="No Cumple">
      <formula>NOT(ISERROR(SEARCH("No Cumple",E14)))</formula>
    </cfRule>
    <cfRule type="beginsWith" dxfId="485" priority="50" operator="beginsWith" text="Cumple">
      <formula>LEFT(E14,LEN("Cumple"))="Cumple"</formula>
    </cfRule>
  </conditionalFormatting>
  <conditionalFormatting sqref="E36">
    <cfRule type="containsText" dxfId="484" priority="37" operator="containsText" text="Seleccionar">
      <formula>NOT(ISERROR(SEARCH("Seleccionar",E36)))</formula>
    </cfRule>
    <cfRule type="containsText" dxfId="483" priority="38" operator="containsText" text="Parcialmente Cumple">
      <formula>NOT(ISERROR(SEARCH("Parcialmente Cumple",E36)))</formula>
    </cfRule>
    <cfRule type="containsText" dxfId="482" priority="39" operator="containsText" text="No Cumple">
      <formula>NOT(ISERROR(SEARCH("No Cumple",E36)))</formula>
    </cfRule>
    <cfRule type="beginsWith" dxfId="481" priority="40" operator="beginsWith" text="Cumple">
      <formula>LEFT(E36,LEN("Cumple"))="Cumple"</formula>
    </cfRule>
  </conditionalFormatting>
  <conditionalFormatting sqref="E57:E60">
    <cfRule type="containsText" dxfId="480" priority="1" operator="containsText" text="No Aplica">
      <formula>NOT(ISERROR(SEARCH("No Aplica",E57)))</formula>
    </cfRule>
    <cfRule type="containsText" dxfId="479" priority="2" operator="containsText" text="Seleccionar">
      <formula>NOT(ISERROR(SEARCH("Seleccionar",E57)))</formula>
    </cfRule>
    <cfRule type="containsText" dxfId="478" priority="3" operator="containsText" text="Parcialmente Cumple">
      <formula>NOT(ISERROR(SEARCH("Parcialmente Cumple",E57)))</formula>
    </cfRule>
    <cfRule type="containsText" dxfId="477" priority="4" operator="containsText" text="No Cumple">
      <formula>NOT(ISERROR(SEARCH("No Cumple",E57)))</formula>
    </cfRule>
    <cfRule type="beginsWith" dxfId="476" priority="5" operator="beginsWith" text="Cumple">
      <formula>LEFT(E57,LEN("Cumple"))="Cumple"</formula>
    </cfRule>
  </conditionalFormatting>
  <hyperlinks>
    <hyperlink ref="E49" r:id="rId1" display="Consulta más información sobre el analisis de ciclo de vida"/>
    <hyperlink ref="E50" r:id="rId2" display="Consulta más información sobre el ecodiseño"/>
    <hyperlink ref="E16" r:id="rId3" display="Consulta información sobre ISO 9001"/>
    <hyperlink ref="E18" r:id="rId4" display="Consulta información sobre ISO 14001"/>
    <hyperlink ref="E19" r:id="rId5" display="Consulta más información sobre el CSRD"/>
    <hyperlink ref="E20" r:id="rId6" display="Consulta ley 11/2018"/>
    <hyperlink ref="E21" r:id="rId7" display="Consulta más información sobre el marco GRI"/>
    <hyperlink ref="E22" r:id="rId8" display="Consulta información sobre el GHG Protocol"/>
    <hyperlink ref="E25" r:id="rId9" display="Consulta el Real Decreto 901/2020"/>
    <hyperlink ref="E26" r:id="rId10" display="Consulta Ley 7/2022"/>
    <hyperlink ref="E27" r:id="rId11" display="Consulta ISO 20400:2017 sobre adquisición sostenible"/>
    <hyperlink ref="E37" r:id="rId12" display="Consulta más información sobre Energías Renovables"/>
    <hyperlink ref="E38" r:id="rId13" display="Consulta más información sobre el Potencial de Calentamiento Global"/>
    <hyperlink ref="E39" r:id="rId14" display="https://canviclimatic.gencat.cat/ca/ambits/mitigacio/gasos_fluorats/"/>
    <hyperlink ref="E41" r:id="rId15" display="Consulta más información sobre Proveedores en Catalunya"/>
    <hyperlink ref="E45" r:id="rId16" display="Consulta los impuestos sobre los envases de plástico no reutilizables"/>
    <hyperlink ref="E44" r:id="rId17" display="Consulta la Ley de plásticos de un solo uso"/>
    <hyperlink ref="E43" r:id="rId18" display="Consulta el sitio web del Sustainable Packiging Coalition"/>
    <hyperlink ref="E46" r:id="rId19" display="Consulta información sobre los Beneficios del compostaje"/>
    <hyperlink ref="E42" r:id="rId20" display="Consulta el Conveni Col·lectiu per a Comerç de Catalunya per a subsectors i empreses sense conveni propi"/>
    <hyperlink ref="E48" r:id="rId21" display="Consulta el GDPR"/>
    <hyperlink ref="E54" r:id="rId22" display="Consulta más información sobre la Economía Circular (Fundación Ellen McArthur)"/>
    <hyperlink ref="E51" r:id="rId23" display="Consulta el plan de Acción para la economía Circular (UE)"/>
    <hyperlink ref="E52" r:id="rId24" display="Consulta el sitio web de Cradle to Cradle"/>
    <hyperlink ref="E17" r:id="rId25" display="Consulta informació sobre EMAS"/>
    <hyperlink ref="E28" r:id="rId26" display="Consulta información sobre las ecoetiquetas de la UE"/>
    <hyperlink ref="E23" r:id="rId27" display="https://act.gencat.cat/wp-content/uploads/2019/05/CAT-ACT-POL%C3%8DTICA-DE-PRIVACITAT.pdf"/>
    <hyperlink ref="E47" r:id="rId28" display="https://residus.gencat.cat/ca/ambits_dactuacio/tipus_de_residu/residus_comercials/"/>
    <hyperlink ref="E24" r:id="rId29" display="Consulta un exemple de codi de conducta/ètica de proveïdors"/>
    <hyperlink ref="E15" r:id="rId30" display="Consulta més informació sobre el codi de conducta"/>
    <hyperlink ref="E29" r:id="rId31" display="https://treball.gencat.cat/ca/ambits/seguretat_i_salut_laboral/ci_/pla-govern/"/>
    <hyperlink ref="E30" r:id="rId32" display="https://dogc.gencat.cat/ca/document-del-dogc/?documentId=966011"/>
    <hyperlink ref="E31" r:id="rId33" display="https://apdcat.gencat.cat/ca/drets_i_obligacions/rgpd"/>
    <hyperlink ref="E32" r:id="rId34" display="https://govern.cat/gov/pla-govern?eix=0&amp;ambit=1"/>
    <hyperlink ref="E59" r:id="rId35" display="https://www.pimec.org/ca/guies-sobre-proteccio-dades-al-comerc-diputacio-barcelona"/>
    <hyperlink ref="E60" r:id="rId36" display="https://portaljuridic.gencat.cat/ca/document-del-pjur/?documentId=794501"/>
    <hyperlink ref="E55" r:id="rId37" display="Consulta información sobre la iniciativa Lean and Green"/>
    <hyperlink ref="E40" r:id="rId38" display="https://canviclimatic.gencat.cat/ca/oficina/index.html"/>
    <hyperlink ref="E58" r:id="rId39"/>
    <hyperlink ref="E57" r:id="rId40"/>
    <hyperlink ref="E53" r:id="rId41"/>
  </hyperlinks>
  <pageMargins left="0.7" right="0.7" top="0.75" bottom="0.75" header="0.3" footer="0.3"/>
  <pageSetup paperSize="9" orientation="portrait" r:id="rId4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tabColor theme="9" tint="0.39997558519241921"/>
  </sheetPr>
  <dimension ref="A1:AN59"/>
  <sheetViews>
    <sheetView showGridLines="0" zoomScale="70" zoomScaleNormal="70" workbookViewId="0">
      <selection activeCell="E4" sqref="E4"/>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310" t="s">
        <v>852</v>
      </c>
      <c r="E1" s="201" t="s">
        <v>1334</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59" t="s">
        <v>365</v>
      </c>
      <c r="E3" s="159" t="s">
        <v>358</v>
      </c>
      <c r="F3" s="163" t="s">
        <v>357</v>
      </c>
      <c r="G3" s="234" t="s">
        <v>367</v>
      </c>
      <c r="H3" s="155" t="s">
        <v>534</v>
      </c>
      <c r="I3" s="160" t="s">
        <v>363</v>
      </c>
      <c r="J3" s="153"/>
      <c r="K3" s="153"/>
    </row>
    <row r="4" spans="1:40" ht="150" customHeight="1">
      <c r="B4" s="98" t="s">
        <v>423</v>
      </c>
      <c r="C4" s="266" t="s">
        <v>356</v>
      </c>
      <c r="D4" s="95" t="str">
        <f>HLOOKUP(D3,AUTO!$B$1:$AJ$2,2,FALSE)</f>
        <v xml:space="preserve">El subministrament de matèries primeres és un tema crucial per a la sostenibilitat d'aquells sectors molt intensius en materials. Aquí les empreses haurien d'avaluar oportunitats per a una adquisició de matèries de manera sostenible amb proveïdors confiables i certificats i estratègies de recuperació de material que es pugui recuperar com a matèria primera. Aquest tema pot ser important tant per a empreses que adquireixen matèries primeres com per a empreses que adquireixen prefabricats o productes. Un exemple és la cadena de subministrament d'empreses alimentàries, on és obligatori poder demostrar que el producte utilitzat no prové de zones amb alta deforestació. </v>
      </c>
      <c r="E4" s="95" t="str">
        <f>HLOOKUP(E3,AUTO!$B$1:$AJ$2,2,FALSE)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F4" s="95" t="str">
        <f>HLOOKUP(F3,AUTO!$B$1:$AJ$2,2,FALSE)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G4" s="115" t="str">
        <f>HLOOKUP(G3,AUTO!$B$1:$AJ$2,2,FALSE)</f>
        <v>Garantir la seguretat química és de gran importància per preservar els ecosistemes i protegir les comunitats properes a instal·lacions que empren substàncies químiques perilloses. Les empreses que comercialitzen productes que contenen substàncies químiques perilloses susceptibles d'entrar en contacte amb l'entorn natural o els usuaris d'aquests productes és essencial que prenguin totes les mesures necessàries per prevenir aquesta situació. Millorar la seguretat química pot implicar la recerca d'alternatives de materials per a l'ús en els seus productes, dissenyar productes de manera segura per prevenir fuites de substàncies i elaborar un pla de gestió de residus al final del cicle de vida del producte.</v>
      </c>
      <c r="H4" s="95" t="str">
        <f>HLOOKUP(H3,AUTO!$B$1:$AJ$2,2,FALSE)</f>
        <v xml:space="preserve">Els materials d'embalatge son part del dia a dia i en certs casos acaben a la natura. És important que el productor faci un exercici d'ecodisseny que asseguri el mínim ús de material i la màxima reciclabilitat. </v>
      </c>
      <c r="I4" s="95" t="str">
        <f>HLOOKUP(I3,AUTO!$B$1:$AJ$2,2,FALSE)</f>
        <v>El disseny dels productes i els seus cicles de vida són molt importants per gestionar l'impacte mediambiental de l'empresa. L'ecodisseny pot facilitar la reparació i el manteniment del producte i millorar-ne la tria dels materials més adequats i la reuitilització. Un correcte ecodisseny assegura una reducció dels impactes en tot el cicle de vida del producte. Les empreses que tenen en compte els impactes durant tot el cicle de vida permeten reduir l'impacte total del producte o servei en l'ús de materials, disseny industrial, producció i gestió de residus. D'aquesta manera, les empreses s'adapten als esquemes de responsabilitat ampliada del productor o futures normatives enfocades a la circularitat de l'economia.</v>
      </c>
      <c r="J4" s="73"/>
      <c r="K4" s="73"/>
    </row>
    <row r="5" spans="1:40" ht="150" customHeight="1">
      <c r="B5" s="98" t="s">
        <v>456</v>
      </c>
      <c r="C5" s="267"/>
      <c r="D5" s="120" t="s">
        <v>818</v>
      </c>
      <c r="E5" s="120" t="s">
        <v>853</v>
      </c>
      <c r="F5" s="120" t="s">
        <v>854</v>
      </c>
      <c r="G5" s="120" t="s">
        <v>855</v>
      </c>
      <c r="H5" s="120" t="s">
        <v>822</v>
      </c>
      <c r="I5" s="120" t="s">
        <v>856</v>
      </c>
      <c r="J5" s="136"/>
    </row>
    <row r="6" spans="1:40" ht="50.15" customHeight="1">
      <c r="B6" s="110"/>
      <c r="C6" s="268" t="s">
        <v>369</v>
      </c>
      <c r="D6" s="156" t="s">
        <v>373</v>
      </c>
      <c r="E6" s="156" t="s">
        <v>376</v>
      </c>
      <c r="F6" s="155" t="s">
        <v>420</v>
      </c>
      <c r="G6" s="155" t="s">
        <v>374</v>
      </c>
      <c r="H6" s="147" t="s">
        <v>417</v>
      </c>
    </row>
    <row r="7" spans="1:40" ht="150" customHeight="1">
      <c r="B7" s="98" t="s">
        <v>423</v>
      </c>
      <c r="C7" s="266"/>
      <c r="D7" s="95" t="str">
        <f>HLOOKUP(D6,AUTO!$B$1:$AJ$2,2,FALSE)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E7" s="95" t="str">
        <f>HLOOKUP(E6,AUTO!$B$1:$AJ$2,2,FALSE)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c r="F7" s="95" t="str">
        <f>HLOOKUP(F6,AUTO!$B$1:$AJ$2,2,FALSE)</f>
        <v>És crucial mantenir alts estàndards laborals i condicions de treball dignes per a tots els empleats en la cadena de valor. L'empresa s'ha d'assegurar que tots els seus proveïdors respectin els drets laborals i humans, la qual cosa inclou garantir una remuneració justa, horaris laborals adequats i la prohibició del treball forçós i el treball infantil. Per assegurar condicions laborals acceptables en tota la cadena de valor, l'empresa pot requerir el compliment d'un codi de conducta per part dels seus proveïdors i dur a terme auditories en alguns d'ells per verificar-ne el compliment.</v>
      </c>
      <c r="G7" s="117" t="s">
        <v>857</v>
      </c>
      <c r="H7" s="95" t="str">
        <f>HLOOKUP(H6,AUTO!$B$1:$AJ$2,2,FALSE)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row>
    <row r="8" spans="1:40" ht="150" customHeight="1">
      <c r="B8" s="98" t="s">
        <v>456</v>
      </c>
      <c r="C8" s="267"/>
      <c r="D8" s="120" t="s">
        <v>826</v>
      </c>
      <c r="E8" s="122" t="s">
        <v>825</v>
      </c>
      <c r="F8" s="120" t="s">
        <v>858</v>
      </c>
      <c r="G8" s="120" t="s">
        <v>824</v>
      </c>
      <c r="H8" s="192" t="s">
        <v>1194</v>
      </c>
    </row>
    <row r="9" spans="1:40" ht="50.15" customHeight="1">
      <c r="B9" s="99"/>
      <c r="C9" s="268" t="s">
        <v>383</v>
      </c>
      <c r="D9" s="106" t="s">
        <v>384</v>
      </c>
      <c r="E9" s="155" t="s">
        <v>388</v>
      </c>
      <c r="F9" s="135"/>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La gestió de les cadenes de subministrament és essencial per supervisar les externalitats ambientals i socials generades per les activitats dels proveïdors. Dins de les cadenes de valor, poden sorgir problemes relacionats amb la responsabilitat ambiental, els drets humans, les condicions laborals, l'ètica i la corrupció, entre altres aspectes. La gestió de les cadenes de subministrament pot implicar l'avaluació, selecció, seguiment i compromís amb els proveïdors amb l'objectiu de reduir i mitigar els impactes mediambientals i socials.</v>
      </c>
      <c r="F10" s="73"/>
    </row>
    <row r="11" spans="1:40" ht="150" customHeight="1">
      <c r="A11" s="74"/>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859</v>
      </c>
    </row>
    <row r="12" spans="1:40" ht="33.65" customHeight="1">
      <c r="A12" s="74"/>
      <c r="B12" s="180"/>
      <c r="C12" s="105"/>
      <c r="D12" s="136"/>
      <c r="E12" s="136"/>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829</v>
      </c>
      <c r="O16" s="24"/>
      <c r="Q16"/>
    </row>
    <row r="17" spans="1:17" ht="75" customHeight="1">
      <c r="B17" s="253" t="s">
        <v>1345</v>
      </c>
      <c r="C17" s="256" t="s">
        <v>551</v>
      </c>
      <c r="D17" s="248" t="s">
        <v>557</v>
      </c>
      <c r="E17" s="111" t="s">
        <v>558</v>
      </c>
      <c r="O17" s="24"/>
      <c r="Q17"/>
    </row>
    <row r="18" spans="1:17" ht="75" customHeight="1">
      <c r="B18" s="255"/>
      <c r="C18" s="258"/>
      <c r="D18" s="248"/>
      <c r="E18" s="112" t="s">
        <v>639</v>
      </c>
      <c r="O18" s="24"/>
      <c r="Q18"/>
    </row>
    <row r="19" spans="1:17" ht="50.15" customHeight="1">
      <c r="B19" s="253" t="s">
        <v>560</v>
      </c>
      <c r="C19" s="256" t="s">
        <v>551</v>
      </c>
      <c r="D19" s="253" t="s">
        <v>861</v>
      </c>
      <c r="E19" s="112" t="s">
        <v>561</v>
      </c>
      <c r="P19"/>
      <c r="Q19"/>
    </row>
    <row r="20" spans="1:17" ht="50.15" customHeight="1">
      <c r="B20" s="254"/>
      <c r="C20" s="257"/>
      <c r="D20" s="254"/>
      <c r="E20" s="112" t="s">
        <v>562</v>
      </c>
      <c r="P20"/>
      <c r="Q20"/>
    </row>
    <row r="21" spans="1:17" ht="89.5" customHeight="1">
      <c r="B21" s="255"/>
      <c r="C21" s="258"/>
      <c r="D21" s="255"/>
      <c r="E21" s="112" t="s">
        <v>563</v>
      </c>
      <c r="P21"/>
      <c r="Q21"/>
    </row>
    <row r="22" spans="1:17" ht="178" customHeight="1">
      <c r="B22" s="117" t="s">
        <v>1370</v>
      </c>
      <c r="C22" s="118" t="s">
        <v>551</v>
      </c>
      <c r="D22" s="103" t="s">
        <v>1210</v>
      </c>
      <c r="E22" s="174" t="s">
        <v>676</v>
      </c>
      <c r="O22" s="24"/>
      <c r="Q22"/>
    </row>
    <row r="23" spans="1:17" ht="150" customHeight="1">
      <c r="B23" s="117" t="s">
        <v>567</v>
      </c>
      <c r="C23" s="118" t="s">
        <v>551</v>
      </c>
      <c r="D23" s="117" t="s">
        <v>568</v>
      </c>
      <c r="E23" s="112" t="s">
        <v>569</v>
      </c>
      <c r="O23" s="24"/>
      <c r="Q23"/>
    </row>
    <row r="24" spans="1:17" ht="150" customHeight="1">
      <c r="A24" s="78"/>
      <c r="B24" s="117" t="s">
        <v>570</v>
      </c>
      <c r="C24" s="118" t="s">
        <v>551</v>
      </c>
      <c r="D24" s="117" t="s">
        <v>862</v>
      </c>
      <c r="E24" s="112" t="s">
        <v>641</v>
      </c>
      <c r="P24"/>
      <c r="Q24"/>
    </row>
    <row r="25" spans="1:17" ht="150" customHeight="1">
      <c r="A25" s="78"/>
      <c r="B25" s="117" t="s">
        <v>1374</v>
      </c>
      <c r="C25" s="119" t="s">
        <v>1375</v>
      </c>
      <c r="D25" s="117" t="s">
        <v>707</v>
      </c>
      <c r="E25" s="111" t="s">
        <v>574</v>
      </c>
      <c r="G25" s="86"/>
      <c r="H25" s="86"/>
      <c r="I25" s="86"/>
      <c r="J25" s="86"/>
      <c r="K25" s="83"/>
      <c r="L25" s="83"/>
      <c r="M25" s="87"/>
      <c r="N25" s="83"/>
      <c r="O25" s="86"/>
      <c r="P25" s="86"/>
      <c r="Q25" s="83"/>
    </row>
    <row r="26" spans="1:17" ht="150" customHeight="1">
      <c r="B26" s="103" t="s">
        <v>1331</v>
      </c>
      <c r="C26" s="118" t="s">
        <v>551</v>
      </c>
      <c r="D26" s="103" t="s">
        <v>1344</v>
      </c>
      <c r="E26" s="174" t="s">
        <v>575</v>
      </c>
      <c r="G26" s="140"/>
      <c r="H26" s="140"/>
      <c r="P26"/>
      <c r="Q26"/>
    </row>
    <row r="27" spans="1:17" ht="92.5" customHeight="1">
      <c r="B27" s="248" t="s">
        <v>1315</v>
      </c>
      <c r="C27" s="256" t="s">
        <v>551</v>
      </c>
      <c r="D27" s="248" t="s">
        <v>1420</v>
      </c>
      <c r="E27" s="174" t="s">
        <v>1297</v>
      </c>
      <c r="P27"/>
      <c r="Q27"/>
    </row>
    <row r="28" spans="1:17" ht="82.5" customHeight="1">
      <c r="B28" s="248"/>
      <c r="C28" s="258"/>
      <c r="D28" s="248"/>
      <c r="E28" s="174" t="s">
        <v>580</v>
      </c>
      <c r="P28"/>
      <c r="Q28"/>
    </row>
    <row r="29" spans="1:17" ht="150" customHeight="1">
      <c r="A29" s="76"/>
      <c r="B29" s="150" t="s">
        <v>1183</v>
      </c>
      <c r="C29" s="161" t="s">
        <v>551</v>
      </c>
      <c r="D29" s="150" t="s">
        <v>1227</v>
      </c>
      <c r="E29" s="221" t="s">
        <v>643</v>
      </c>
      <c r="P29"/>
      <c r="Q29"/>
    </row>
    <row r="30" spans="1:17" ht="150" customHeight="1">
      <c r="B30" s="150" t="s">
        <v>768</v>
      </c>
      <c r="C30" s="161" t="s">
        <v>551</v>
      </c>
      <c r="D30" s="150" t="s">
        <v>1252</v>
      </c>
      <c r="E30" s="216" t="s">
        <v>769</v>
      </c>
      <c r="P30"/>
      <c r="Q30"/>
    </row>
    <row r="31" spans="1:17" ht="150" customHeight="1">
      <c r="B31" s="150" t="s">
        <v>772</v>
      </c>
      <c r="C31" s="161" t="s">
        <v>551</v>
      </c>
      <c r="D31" s="150" t="s">
        <v>1254</v>
      </c>
      <c r="E31" s="216" t="s">
        <v>773</v>
      </c>
      <c r="P31"/>
      <c r="Q31"/>
    </row>
    <row r="32" spans="1:17" ht="150" customHeight="1">
      <c r="A32" s="76"/>
      <c r="B32" s="150" t="s">
        <v>585</v>
      </c>
      <c r="C32" s="161" t="s">
        <v>551</v>
      </c>
      <c r="D32" s="150" t="s">
        <v>1229</v>
      </c>
      <c r="E32" s="216" t="s">
        <v>586</v>
      </c>
      <c r="P32"/>
      <c r="Q32"/>
    </row>
    <row r="33" spans="1:17">
      <c r="P33"/>
      <c r="Q33"/>
    </row>
    <row r="34" spans="1:17">
      <c r="P34"/>
      <c r="Q34"/>
    </row>
    <row r="35" spans="1:17" ht="50.15" customHeight="1">
      <c r="B35" s="250" t="s">
        <v>863</v>
      </c>
      <c r="C35" s="251"/>
      <c r="D35" s="251"/>
      <c r="E35" s="252"/>
      <c r="P35"/>
      <c r="Q35"/>
    </row>
    <row r="36" spans="1:17" ht="50.15" customHeight="1">
      <c r="B36" s="197" t="s">
        <v>464</v>
      </c>
      <c r="C36" s="197" t="s">
        <v>548</v>
      </c>
      <c r="D36" s="197" t="s">
        <v>423</v>
      </c>
      <c r="E36" s="197" t="s">
        <v>634</v>
      </c>
      <c r="P36"/>
      <c r="Q36"/>
    </row>
    <row r="37" spans="1:17" ht="50.15" customHeight="1">
      <c r="B37" s="253" t="s">
        <v>1407</v>
      </c>
      <c r="C37" s="263" t="s">
        <v>551</v>
      </c>
      <c r="D37" s="253" t="s">
        <v>831</v>
      </c>
      <c r="E37" s="112" t="s">
        <v>799</v>
      </c>
      <c r="P37"/>
      <c r="Q37"/>
    </row>
    <row r="38" spans="1:17" ht="50.15" customHeight="1">
      <c r="B38" s="254"/>
      <c r="C38" s="264"/>
      <c r="D38" s="254"/>
      <c r="E38" s="112" t="s">
        <v>800</v>
      </c>
      <c r="P38"/>
      <c r="Q38"/>
    </row>
    <row r="39" spans="1:17" ht="50.15" customHeight="1">
      <c r="B39" s="254"/>
      <c r="C39" s="264"/>
      <c r="D39" s="254"/>
      <c r="E39" s="112" t="s">
        <v>864</v>
      </c>
      <c r="P39"/>
      <c r="Q39"/>
    </row>
    <row r="40" spans="1:17" ht="50.15" customHeight="1">
      <c r="B40" s="255"/>
      <c r="C40" s="265"/>
      <c r="D40" s="255"/>
      <c r="E40" s="112" t="s">
        <v>582</v>
      </c>
      <c r="P40"/>
      <c r="Q40"/>
    </row>
    <row r="41" spans="1:17" ht="182.15" customHeight="1">
      <c r="B41" s="117" t="s">
        <v>1425</v>
      </c>
      <c r="C41" s="119" t="s">
        <v>551</v>
      </c>
      <c r="D41" s="117" t="s">
        <v>833</v>
      </c>
      <c r="E41" s="112" t="s">
        <v>834</v>
      </c>
      <c r="P41"/>
      <c r="Q41"/>
    </row>
    <row r="42" spans="1:17" ht="173.15" customHeight="1">
      <c r="B42" s="117" t="s">
        <v>1426</v>
      </c>
      <c r="C42" s="119" t="s">
        <v>551</v>
      </c>
      <c r="D42" s="117" t="s">
        <v>1197</v>
      </c>
      <c r="E42" s="112" t="s">
        <v>835</v>
      </c>
      <c r="P42"/>
      <c r="Q42"/>
    </row>
    <row r="43" spans="1:17" ht="50.15" customHeight="1">
      <c r="A43" s="76"/>
      <c r="B43" s="253" t="s">
        <v>1347</v>
      </c>
      <c r="C43" s="263" t="s">
        <v>551</v>
      </c>
      <c r="D43" s="253" t="s">
        <v>836</v>
      </c>
      <c r="E43" s="112" t="s">
        <v>837</v>
      </c>
      <c r="P43"/>
      <c r="Q43"/>
    </row>
    <row r="44" spans="1:17" ht="50.15" customHeight="1">
      <c r="A44" s="73"/>
      <c r="B44" s="254"/>
      <c r="C44" s="264"/>
      <c r="D44" s="254"/>
      <c r="E44" s="112" t="s">
        <v>838</v>
      </c>
      <c r="P44"/>
      <c r="Q44"/>
    </row>
    <row r="45" spans="1:17" ht="50.15" customHeight="1">
      <c r="A45" s="73"/>
      <c r="B45" s="255"/>
      <c r="C45" s="265"/>
      <c r="D45" s="255"/>
      <c r="E45" s="112" t="s">
        <v>839</v>
      </c>
      <c r="P45"/>
      <c r="Q45"/>
    </row>
    <row r="46" spans="1:17" ht="75" customHeight="1">
      <c r="B46" s="248" t="s">
        <v>1216</v>
      </c>
      <c r="C46" s="279" t="s">
        <v>551</v>
      </c>
      <c r="D46" s="248" t="s">
        <v>840</v>
      </c>
      <c r="E46" s="112" t="s">
        <v>865</v>
      </c>
      <c r="P46"/>
      <c r="Q46"/>
    </row>
    <row r="47" spans="1:17" ht="75" customHeight="1">
      <c r="B47" s="248"/>
      <c r="C47" s="294"/>
      <c r="D47" s="248"/>
      <c r="E47" s="112" t="s">
        <v>866</v>
      </c>
      <c r="P47"/>
      <c r="Q47"/>
    </row>
    <row r="48" spans="1:17" ht="163" customHeight="1">
      <c r="B48" s="117" t="s">
        <v>1428</v>
      </c>
      <c r="C48" s="119" t="s">
        <v>551</v>
      </c>
      <c r="D48" s="117" t="s">
        <v>843</v>
      </c>
      <c r="E48" s="112" t="s">
        <v>844</v>
      </c>
      <c r="P48"/>
      <c r="Q48"/>
    </row>
    <row r="49" spans="1:17" ht="75" customHeight="1">
      <c r="B49" s="261" t="s">
        <v>1212</v>
      </c>
      <c r="C49" s="259" t="s">
        <v>551</v>
      </c>
      <c r="D49" s="261" t="s">
        <v>1209</v>
      </c>
      <c r="E49" s="112" t="s">
        <v>581</v>
      </c>
      <c r="P49"/>
      <c r="Q49"/>
    </row>
    <row r="50" spans="1:17" ht="75" customHeight="1">
      <c r="B50" s="262"/>
      <c r="C50" s="260"/>
      <c r="D50" s="262"/>
      <c r="E50" s="112" t="s">
        <v>582</v>
      </c>
      <c r="P50"/>
      <c r="Q50"/>
    </row>
    <row r="51" spans="1:17" ht="150" customHeight="1">
      <c r="A51" s="77"/>
      <c r="B51" s="150" t="s">
        <v>1407</v>
      </c>
      <c r="C51" s="161" t="s">
        <v>551</v>
      </c>
      <c r="D51" s="150" t="s">
        <v>867</v>
      </c>
      <c r="E51" s="112" t="s">
        <v>868</v>
      </c>
      <c r="P51"/>
      <c r="Q51"/>
    </row>
    <row r="52" spans="1:17" ht="50.15" customHeight="1">
      <c r="A52" s="80"/>
      <c r="B52" s="253" t="s">
        <v>795</v>
      </c>
      <c r="C52" s="263" t="s">
        <v>551</v>
      </c>
      <c r="D52" s="253" t="s">
        <v>1313</v>
      </c>
      <c r="E52" s="112" t="s">
        <v>869</v>
      </c>
      <c r="G52" s="140"/>
      <c r="H52" s="140"/>
      <c r="I52" s="140"/>
      <c r="P52"/>
      <c r="Q52"/>
    </row>
    <row r="53" spans="1:17" ht="50.15" customHeight="1">
      <c r="B53" s="269"/>
      <c r="C53" s="271"/>
      <c r="D53" s="269"/>
      <c r="E53" s="112" t="s">
        <v>870</v>
      </c>
      <c r="G53" s="73"/>
      <c r="H53" s="73"/>
      <c r="I53" s="73"/>
      <c r="P53"/>
      <c r="Q53"/>
    </row>
    <row r="54" spans="1:17" ht="50.15" customHeight="1">
      <c r="B54" s="269"/>
      <c r="C54" s="271"/>
      <c r="D54" s="269"/>
      <c r="E54" s="223" t="s">
        <v>1307</v>
      </c>
      <c r="G54" s="73"/>
      <c r="H54" s="73"/>
      <c r="I54" s="73"/>
      <c r="P54"/>
      <c r="Q54"/>
    </row>
    <row r="55" spans="1:17" ht="80.5" customHeight="1">
      <c r="B55" s="270"/>
      <c r="C55" s="272"/>
      <c r="D55" s="270"/>
      <c r="E55" s="112" t="s">
        <v>658</v>
      </c>
      <c r="G55" s="136"/>
      <c r="H55" s="136"/>
      <c r="I55" s="136"/>
      <c r="P55"/>
      <c r="Q55"/>
    </row>
    <row r="56" spans="1:17" ht="80.5" customHeight="1">
      <c r="B56" s="261" t="s">
        <v>610</v>
      </c>
      <c r="C56" s="283" t="s">
        <v>551</v>
      </c>
      <c r="D56" s="261" t="s">
        <v>611</v>
      </c>
      <c r="E56" s="216" t="s">
        <v>871</v>
      </c>
      <c r="G56" s="136"/>
      <c r="H56" s="136"/>
      <c r="I56" s="136"/>
      <c r="P56"/>
      <c r="Q56"/>
    </row>
    <row r="57" spans="1:17" ht="80.5" customHeight="1">
      <c r="B57" s="282"/>
      <c r="C57" s="284"/>
      <c r="D57" s="282"/>
      <c r="E57" s="216" t="s">
        <v>849</v>
      </c>
      <c r="G57" s="136"/>
      <c r="H57" s="136"/>
      <c r="I57" s="136"/>
      <c r="P57"/>
      <c r="Q57"/>
    </row>
    <row r="58" spans="1:17" ht="150" customHeight="1">
      <c r="B58" s="117" t="s">
        <v>1433</v>
      </c>
      <c r="C58" s="119" t="s">
        <v>551</v>
      </c>
      <c r="D58" s="117" t="s">
        <v>1260</v>
      </c>
      <c r="E58" s="174" t="s">
        <v>850</v>
      </c>
    </row>
    <row r="59" spans="1:17" ht="165" customHeight="1">
      <c r="B59" s="117" t="s">
        <v>1434</v>
      </c>
      <c r="C59" s="119" t="s">
        <v>551</v>
      </c>
      <c r="D59" s="117" t="s">
        <v>1261</v>
      </c>
      <c r="E59" s="174" t="s">
        <v>851</v>
      </c>
    </row>
  </sheetData>
  <mergeCells count="32">
    <mergeCell ref="C37:C40"/>
    <mergeCell ref="D37:D40"/>
    <mergeCell ref="B56:B57"/>
    <mergeCell ref="C56:C57"/>
    <mergeCell ref="D56:D57"/>
    <mergeCell ref="B43:B45"/>
    <mergeCell ref="B52:B55"/>
    <mergeCell ref="D52:D55"/>
    <mergeCell ref="C52:C55"/>
    <mergeCell ref="B46:B47"/>
    <mergeCell ref="C46:C47"/>
    <mergeCell ref="D46:D47"/>
    <mergeCell ref="D43:D45"/>
    <mergeCell ref="C43:C45"/>
    <mergeCell ref="B49:B50"/>
    <mergeCell ref="C49:C50"/>
    <mergeCell ref="D49:D50"/>
    <mergeCell ref="B37:B40"/>
    <mergeCell ref="C4:C5"/>
    <mergeCell ref="C6:C8"/>
    <mergeCell ref="C9:C11"/>
    <mergeCell ref="D17:D18"/>
    <mergeCell ref="C17:C18"/>
    <mergeCell ref="D27:D28"/>
    <mergeCell ref="C27:C28"/>
    <mergeCell ref="B13:E13"/>
    <mergeCell ref="B35:E35"/>
    <mergeCell ref="B19:B21"/>
    <mergeCell ref="C19:C21"/>
    <mergeCell ref="D19:D21"/>
    <mergeCell ref="B17:B18"/>
    <mergeCell ref="B27:B28"/>
  </mergeCells>
  <conditionalFormatting sqref="A29">
    <cfRule type="containsText" dxfId="475" priority="41" operator="containsText" text="No Aplica">
      <formula>NOT(ISERROR(SEARCH("No Aplica",A29)))</formula>
    </cfRule>
    <cfRule type="containsText" dxfId="474" priority="42" operator="containsText" text="Seleccionar">
      <formula>NOT(ISERROR(SEARCH("Seleccionar",A29)))</formula>
    </cfRule>
    <cfRule type="containsText" dxfId="473" priority="43" operator="containsText" text="Parcialmente Cumple">
      <formula>NOT(ISERROR(SEARCH("Parcialmente Cumple",A29)))</formula>
    </cfRule>
    <cfRule type="containsText" dxfId="472" priority="44" operator="containsText" text="No Cumple">
      <formula>NOT(ISERROR(SEARCH("No Cumple",A29)))</formula>
    </cfRule>
    <cfRule type="beginsWith" dxfId="471" priority="45" operator="beginsWith" text="Cumple">
      <formula>LEFT(A29,LEN("Cumple"))="Cumple"</formula>
    </cfRule>
  </conditionalFormatting>
  <conditionalFormatting sqref="A32">
    <cfRule type="containsText" dxfId="470" priority="36" operator="containsText" text="No Aplica">
      <formula>NOT(ISERROR(SEARCH("No Aplica",A32)))</formula>
    </cfRule>
    <cfRule type="containsText" dxfId="469" priority="37" operator="containsText" text="Seleccionar">
      <formula>NOT(ISERROR(SEARCH("Seleccionar",A32)))</formula>
    </cfRule>
    <cfRule type="containsText" dxfId="468" priority="38" operator="containsText" text="Parcialmente Cumple">
      <formula>NOT(ISERROR(SEARCH("Parcialmente Cumple",A32)))</formula>
    </cfRule>
    <cfRule type="containsText" dxfId="467" priority="39" operator="containsText" text="No Cumple">
      <formula>NOT(ISERROR(SEARCH("No Cumple",A32)))</formula>
    </cfRule>
    <cfRule type="beginsWith" dxfId="466" priority="40" operator="beginsWith" text="Cumple">
      <formula>LEFT(A32,LEN("Cumple"))="Cumple"</formula>
    </cfRule>
  </conditionalFormatting>
  <conditionalFormatting sqref="A43:A45">
    <cfRule type="containsText" dxfId="465" priority="226" operator="containsText" text="No Aplica">
      <formula>NOT(ISERROR(SEARCH("No Aplica",A43)))</formula>
    </cfRule>
    <cfRule type="containsText" dxfId="464" priority="227" operator="containsText" text="Seleccionar">
      <formula>NOT(ISERROR(SEARCH("Seleccionar",A43)))</formula>
    </cfRule>
    <cfRule type="containsText" dxfId="463" priority="228" operator="containsText" text="Parcialmente Cumple">
      <formula>NOT(ISERROR(SEARCH("Parcialmente Cumple",A43)))</formula>
    </cfRule>
    <cfRule type="containsText" dxfId="462" priority="229" operator="containsText" text="No Cumple">
      <formula>NOT(ISERROR(SEARCH("No Cumple",A43)))</formula>
    </cfRule>
    <cfRule type="beginsWith" dxfId="461" priority="230" operator="beginsWith" text="Cumple">
      <formula>LEFT(A43,LEN("Cumple"))="Cumple"</formula>
    </cfRule>
  </conditionalFormatting>
  <conditionalFormatting sqref="C3:C11">
    <cfRule type="containsText" dxfId="460" priority="111" operator="containsText" text="No Aplica">
      <formula>NOT(ISERROR(SEARCH("No Aplica",C3)))</formula>
    </cfRule>
    <cfRule type="containsText" dxfId="459" priority="112" operator="containsText" text="Pendiente">
      <formula>NOT(ISERROR(SEARCH("Pendiente",C3)))</formula>
    </cfRule>
    <cfRule type="containsText" dxfId="458" priority="113" operator="containsText" text="Parcialmente Cumple">
      <formula>NOT(ISERROR(SEARCH("Parcialmente Cumple",C3)))</formula>
    </cfRule>
    <cfRule type="containsText" dxfId="457" priority="114" operator="containsText" text="No Cumple">
      <formula>NOT(ISERROR(SEARCH("No Cumple",C3)))</formula>
    </cfRule>
    <cfRule type="beginsWith" dxfId="456" priority="115" operator="beginsWith" text="Cumple">
      <formula>LEFT(C3,LEN("Cumple"))="Cumple"</formula>
    </cfRule>
  </conditionalFormatting>
  <conditionalFormatting sqref="D14">
    <cfRule type="containsText" dxfId="455" priority="56" operator="containsText" text="No Aplica">
      <formula>NOT(ISERROR(SEARCH("No Aplica",D14)))</formula>
    </cfRule>
    <cfRule type="containsText" dxfId="454" priority="57" operator="containsText" text="Pendiente">
      <formula>NOT(ISERROR(SEARCH("Pendiente",D14)))</formula>
    </cfRule>
    <cfRule type="containsText" dxfId="453" priority="58" operator="containsText" text="Parcialmente Cumple">
      <formula>NOT(ISERROR(SEARCH("Parcialmente Cumple",D14)))</formula>
    </cfRule>
    <cfRule type="containsText" dxfId="452" priority="59" operator="containsText" text="No Cumple">
      <formula>NOT(ISERROR(SEARCH("No Cumple",D14)))</formula>
    </cfRule>
    <cfRule type="beginsWith" dxfId="451" priority="60" operator="beginsWith" text="Cumple">
      <formula>LEFT(D14,LEN("Cumple"))="Cumple"</formula>
    </cfRule>
  </conditionalFormatting>
  <conditionalFormatting sqref="D36">
    <cfRule type="containsText" dxfId="450" priority="47" operator="containsText" text="Pendiente">
      <formula>NOT(ISERROR(SEARCH("Pendiente",D36)))</formula>
    </cfRule>
    <cfRule type="containsText" dxfId="449" priority="48" operator="containsText" text="Parcialmente Cumple">
      <formula>NOT(ISERROR(SEARCH("Parcialmente Cumple",D36)))</formula>
    </cfRule>
    <cfRule type="containsText" dxfId="448" priority="49" operator="containsText" text="No Cumple">
      <formula>NOT(ISERROR(SEARCH("No Cumple",D36)))</formula>
    </cfRule>
    <cfRule type="beginsWith" dxfId="447" priority="50" operator="beginsWith" text="Cumple">
      <formula>LEFT(D36,LEN("Cumple"))="Cumple"</formula>
    </cfRule>
  </conditionalFormatting>
  <conditionalFormatting sqref="D49">
    <cfRule type="containsText" dxfId="446" priority="26" operator="containsText" text="No Aplica">
      <formula>NOT(ISERROR(SEARCH("No Aplica",D49)))</formula>
    </cfRule>
    <cfRule type="containsText" dxfId="445" priority="27" operator="containsText" text="Pendiente">
      <formula>NOT(ISERROR(SEARCH("Pendiente",D49)))</formula>
    </cfRule>
    <cfRule type="containsText" dxfId="444" priority="28" operator="containsText" text="Parcialmente Cumple">
      <formula>NOT(ISERROR(SEARCH("Parcialmente Cumple",D49)))</formula>
    </cfRule>
    <cfRule type="containsText" dxfId="443" priority="29" operator="containsText" text="No Cumple">
      <formula>NOT(ISERROR(SEARCH("No Cumple",D49)))</formula>
    </cfRule>
    <cfRule type="beginsWith" dxfId="442" priority="30" operator="beginsWith" text="Cumple">
      <formula>LEFT(D49,LEN("Cumple"))="Cumple"</formula>
    </cfRule>
  </conditionalFormatting>
  <conditionalFormatting sqref="D36:E36">
    <cfRule type="containsText" dxfId="441" priority="46" operator="containsText" text="No Aplica">
      <formula>NOT(ISERROR(SEARCH("No Aplica",D36)))</formula>
    </cfRule>
  </conditionalFormatting>
  <conditionalFormatting sqref="E14">
    <cfRule type="containsText" dxfId="440" priority="61" operator="containsText" text="No Aplica">
      <formula>NOT(ISERROR(SEARCH("No Aplica",E14)))</formula>
    </cfRule>
    <cfRule type="containsText" dxfId="439" priority="62" operator="containsText" text="Seleccionar">
      <formula>NOT(ISERROR(SEARCH("Seleccionar",E14)))</formula>
    </cfRule>
    <cfRule type="containsText" dxfId="438" priority="63" operator="containsText" text="Parcialmente Cumple">
      <formula>NOT(ISERROR(SEARCH("Parcialmente Cumple",E14)))</formula>
    </cfRule>
    <cfRule type="containsText" dxfId="437" priority="64" operator="containsText" text="No Cumple">
      <formula>NOT(ISERROR(SEARCH("No Cumple",E14)))</formula>
    </cfRule>
    <cfRule type="beginsWith" dxfId="436" priority="65" operator="beginsWith" text="Cumple">
      <formula>LEFT(E14,LEN("Cumple"))="Cumple"</formula>
    </cfRule>
  </conditionalFormatting>
  <conditionalFormatting sqref="E36">
    <cfRule type="containsText" dxfId="435" priority="52" operator="containsText" text="Seleccionar">
      <formula>NOT(ISERROR(SEARCH("Seleccionar",E36)))</formula>
    </cfRule>
    <cfRule type="containsText" dxfId="434" priority="53" operator="containsText" text="Parcialmente Cumple">
      <formula>NOT(ISERROR(SEARCH("Parcialmente Cumple",E36)))</formula>
    </cfRule>
    <cfRule type="containsText" dxfId="433" priority="54" operator="containsText" text="No Cumple">
      <formula>NOT(ISERROR(SEARCH("No Cumple",E36)))</formula>
    </cfRule>
    <cfRule type="beginsWith" dxfId="432" priority="55" operator="beginsWith" text="Cumple">
      <formula>LEFT(E36,LEN("Cumple"))="Cumple"</formula>
    </cfRule>
  </conditionalFormatting>
  <conditionalFormatting sqref="E51">
    <cfRule type="containsText" dxfId="431" priority="141" operator="containsText" text="No Aplica">
      <formula>NOT(ISERROR(SEARCH("No Aplica",E51)))</formula>
    </cfRule>
    <cfRule type="containsText" dxfId="430" priority="142" operator="containsText" text="Seleccionar">
      <formula>NOT(ISERROR(SEARCH("Seleccionar",E51)))</formula>
    </cfRule>
    <cfRule type="containsText" dxfId="429" priority="143" operator="containsText" text="Parcialmente Cumple">
      <formula>NOT(ISERROR(SEARCH("Parcialmente Cumple",E51)))</formula>
    </cfRule>
    <cfRule type="containsText" dxfId="428" priority="144" operator="containsText" text="No Cumple">
      <formula>NOT(ISERROR(SEARCH("No Cumple",E51)))</formula>
    </cfRule>
    <cfRule type="beginsWith" dxfId="427" priority="145" operator="beginsWith" text="Cumple">
      <formula>LEFT(E51,LEN("Cumple"))="Cumple"</formula>
    </cfRule>
  </conditionalFormatting>
  <conditionalFormatting sqref="E56:E59">
    <cfRule type="containsText" dxfId="426" priority="16" operator="containsText" text="No Aplica">
      <formula>NOT(ISERROR(SEARCH("No Aplica",E56)))</formula>
    </cfRule>
    <cfRule type="containsText" dxfId="425" priority="17" operator="containsText" text="Seleccionar">
      <formula>NOT(ISERROR(SEARCH("Seleccionar",E56)))</formula>
    </cfRule>
    <cfRule type="containsText" dxfId="424" priority="18" operator="containsText" text="Parcialmente Cumple">
      <formula>NOT(ISERROR(SEARCH("Parcialmente Cumple",E56)))</formula>
    </cfRule>
    <cfRule type="containsText" dxfId="423" priority="19" operator="containsText" text="No Cumple">
      <formula>NOT(ISERROR(SEARCH("No Cumple",E56)))</formula>
    </cfRule>
    <cfRule type="beginsWith" dxfId="422" priority="20" operator="beginsWith" text="Cumple">
      <formula>LEFT(E56,LEN("Cumple"))="Cumple"</formula>
    </cfRule>
  </conditionalFormatting>
  <conditionalFormatting sqref="D15:D19">
    <cfRule type="containsText" dxfId="421" priority="1" operator="containsText" text="No Aplica">
      <formula>NOT(ISERROR(SEARCH("No Aplica",D15)))</formula>
    </cfRule>
    <cfRule type="containsText" dxfId="420" priority="2" operator="containsText" text="Pendiente">
      <formula>NOT(ISERROR(SEARCH("Pendiente",D15)))</formula>
    </cfRule>
    <cfRule type="containsText" dxfId="419" priority="3" operator="containsText" text="Parcialmente Cumple">
      <formula>NOT(ISERROR(SEARCH("Parcialmente Cumple",D15)))</formula>
    </cfRule>
    <cfRule type="containsText" dxfId="418" priority="4" operator="containsText" text="No Cumple">
      <formula>NOT(ISERROR(SEARCH("No Cumple",D15)))</formula>
    </cfRule>
    <cfRule type="beginsWith" dxfId="417" priority="5" operator="beginsWith" text="Cumple">
      <formula>LEFT(D15,LEN("Cumple"))="Cumple"</formula>
    </cfRule>
  </conditionalFormatting>
  <conditionalFormatting sqref="D23:D25">
    <cfRule type="containsText" dxfId="416" priority="11" operator="containsText" text="No Aplica">
      <formula>NOT(ISERROR(SEARCH("No Aplica",D23)))</formula>
    </cfRule>
    <cfRule type="containsText" dxfId="415" priority="12" operator="containsText" text="Pendiente">
      <formula>NOT(ISERROR(SEARCH("Pendiente",D23)))</formula>
    </cfRule>
    <cfRule type="containsText" dxfId="414" priority="13" operator="containsText" text="Parcialmente Cumple">
      <formula>NOT(ISERROR(SEARCH("Parcialmente Cumple",D23)))</formula>
    </cfRule>
    <cfRule type="containsText" dxfId="413" priority="14" operator="containsText" text="No Cumple">
      <formula>NOT(ISERROR(SEARCH("No Cumple",D23)))</formula>
    </cfRule>
    <cfRule type="beginsWith" dxfId="412" priority="15" operator="beginsWith" text="Cumple">
      <formula>LEFT(D23,LEN("Cumple"))="Cumple"</formula>
    </cfRule>
  </conditionalFormatting>
  <conditionalFormatting sqref="D27:D28">
    <cfRule type="containsText" dxfId="411" priority="6" operator="containsText" text="No Aplica">
      <formula>NOT(ISERROR(SEARCH("No Aplica",D27)))</formula>
    </cfRule>
    <cfRule type="containsText" dxfId="410" priority="7" operator="containsText" text="Pendiente">
      <formula>NOT(ISERROR(SEARCH("Pendiente",D27)))</formula>
    </cfRule>
    <cfRule type="containsText" dxfId="409" priority="8" operator="containsText" text="Parcialmente Cumple">
      <formula>NOT(ISERROR(SEARCH("Parcialmente Cumple",D27)))</formula>
    </cfRule>
    <cfRule type="containsText" dxfId="408" priority="9" operator="containsText" text="No Cumple">
      <formula>NOT(ISERROR(SEARCH("No Cumple",D27)))</formula>
    </cfRule>
    <cfRule type="beginsWith" dxfId="407" priority="10" operator="beginsWith" text="Cumple">
      <formula>LEFT(D27,LEN("Cumple"))="Cumple"</formula>
    </cfRule>
  </conditionalFormatting>
  <hyperlinks>
    <hyperlink ref="E45" r:id="rId1" display="Consulta los impuestos sobre los envases de plástico no reutilizables"/>
    <hyperlink ref="E44" r:id="rId2" display="Consulta la Ley de plásticos de un solo uso"/>
    <hyperlink ref="E43" r:id="rId3" display="Consulta el sitio web del Sustainable Packiging Coalition"/>
    <hyperlink ref="E37" r:id="rId4" display="Consulta más información sobre Energías Renovables"/>
    <hyperlink ref="E38" r:id="rId5" display="Consulta más información sobre el Potencial de Calentamiento Global"/>
    <hyperlink ref="E39" r:id="rId6" display="Consulta más información de Gases Refrigerantes en España"/>
    <hyperlink ref="E41" r:id="rId7" display="Consulta más información sobre Proveedores en Catalunya"/>
    <hyperlink ref="E46" r:id="rId8" display="Consulta información sobre los Beneficios del compostaje"/>
    <hyperlink ref="E47" r:id="rId9" display="Consulta información sobre las Residuos Comerciales"/>
    <hyperlink ref="E42" r:id="rId10" display="Consulta el Conveni Col·lectiu per a Comerç de Catalunya per a subsectors i empreses sense conveni propi"/>
    <hyperlink ref="E48" r:id="rId11" display="Consulta el GDPR"/>
    <hyperlink ref="E55" r:id="rId12" display="Consulta más información sobre la Economía Circular (Fundación Ellen McArthur)"/>
    <hyperlink ref="E52" r:id="rId13" display="Consulta el plan de Acción para la economía Circular (UE)"/>
    <hyperlink ref="E53" r:id="rId14" display="Consulta el sitio web de Cradle to Cradle"/>
    <hyperlink ref="E58" r:id="rId15" display="https://www.pimec.org/ca/guies-sobre-proteccio-dades-al-comerc-diputacio-barcelona"/>
    <hyperlink ref="E59" r:id="rId16" display="https://portaljuridic.gencat.cat/ca/document-del-pjur/?documentId=794501"/>
    <hyperlink ref="E49" r:id="rId17" display="Consulta información sobre la iniciativa Lean and Green"/>
    <hyperlink ref="E50" r:id="rId18" display="https://canviclimatic.gencat.cat/ca/oficina/index.html"/>
    <hyperlink ref="E51" r:id="rId19" display="Consulta más información sobre Lean &amp; Green España"/>
    <hyperlink ref="E40" r:id="rId20" display="https://canviclimatic.gencat.cat/ca/oficina/index.html"/>
    <hyperlink ref="E57" r:id="rId21"/>
    <hyperlink ref="E56" r:id="rId22"/>
    <hyperlink ref="E54" r:id="rId23"/>
    <hyperlink ref="E16" r:id="rId24" display="Consulta información sobre ISO 9001"/>
    <hyperlink ref="E18" r:id="rId25" display="Consulta información sobre ISO 14001"/>
    <hyperlink ref="E19" r:id="rId26" display="Consulta más información sobre el CSRD"/>
    <hyperlink ref="E20" r:id="rId27" display="Consulta ley 11/2018"/>
    <hyperlink ref="E21" r:id="rId28" display="Consulta más información sobre el marco GRI"/>
    <hyperlink ref="E22" r:id="rId29" display="Consulta información sobre el GHG Protocol"/>
    <hyperlink ref="E25" r:id="rId30" display="Consulta el Real Decreto 901/2020"/>
    <hyperlink ref="E26" r:id="rId31" display="Consulta Ley 7/2022"/>
    <hyperlink ref="E27" r:id="rId32" display="Consulta ISO 20400:2017 sobre adquisición sostenible"/>
    <hyperlink ref="E17" r:id="rId33" display="Consulta informació sobre EMAS"/>
    <hyperlink ref="E28" r:id="rId34" display="Consulta información sobre las ecoetiquetas de la UE"/>
    <hyperlink ref="E23" r:id="rId35" display="https://act.gencat.cat/wp-content/uploads/2019/05/CAT-ACT-POL%C3%8DTICA-DE-PRIVACITAT.pdf"/>
    <hyperlink ref="E24" r:id="rId36" display="Consulta un exemple de codi de conducta/ètica de proveïdors"/>
    <hyperlink ref="E15" r:id="rId37" display="Consulta més informació sobre el codi de conducta"/>
    <hyperlink ref="E29" r:id="rId38" display="https://treball.gencat.cat/ca/ambits/seguretat_i_salut_laboral/ci_/pla-govern/"/>
    <hyperlink ref="E30" r:id="rId39" display="https://dogc.gencat.cat/ca/document-del-dogc/?documentId=966011"/>
    <hyperlink ref="E31" r:id="rId40" display="https://apdcat.gencat.cat/ca/drets_i_obligacions/rgpd"/>
    <hyperlink ref="E32" r:id="rId41" display="https://govern.cat/gov/pla-govern?eix=0&amp;ambit=1"/>
  </hyperlinks>
  <pageMargins left="0.7" right="0.7" top="0.75" bottom="0.75" header="0.3" footer="0.3"/>
  <pageSetup paperSize="9" orientation="portrait" r:id="rId4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theme="9" tint="0.39997558519241921"/>
  </sheetPr>
  <dimension ref="A1:AN56"/>
  <sheetViews>
    <sheetView showGridLines="0" zoomScale="70" zoomScaleNormal="70" workbookViewId="0">
      <selection activeCell="D4" sqref="D4"/>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102" t="s">
        <v>1495</v>
      </c>
      <c r="E1" s="93" t="s">
        <v>872</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57" t="s">
        <v>358</v>
      </c>
      <c r="E3" s="157" t="s">
        <v>357</v>
      </c>
      <c r="F3" s="157" t="s">
        <v>366</v>
      </c>
      <c r="G3" s="152"/>
      <c r="H3" s="152"/>
      <c r="I3" s="153"/>
      <c r="J3" s="153"/>
      <c r="K3" s="153"/>
    </row>
    <row r="4" spans="1:40" ht="150" customHeight="1">
      <c r="B4" s="98" t="s">
        <v>423</v>
      </c>
      <c r="C4" s="266" t="s">
        <v>356</v>
      </c>
      <c r="D4" s="95" t="str">
        <f>HLOOKUP(D3,AUTO!$B$1:$AJ$2,2,FALSE)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E4" s="95" t="str">
        <f>HLOOKUP(E3,AUTO!$B$1:$AJ$2,2,FALSE)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F4" s="95" t="str">
        <f>HLOOKUP(F3,AUTO!$B$1:$AJ$2,2,FALSE)</f>
        <v>Les emissions de contaminants com el diòxid de sofre (SOx), el diòxid de nitrogen (NOx) i els Compostos Orgànics Volàtils (VOC), entre d'altres, poden tenir un impacte significatiu sobre la qualitat de l'aire. Una mala qualitat de l'aire pot tenir efectes negatius tant sobre el medi ambient com sobre la salut de les comunitats afectades. Per tant, les empreses que duen a terme operacions que produeixen emissions a l'aire han d'avaluar el seu impacte sobre la qualitat de l'aire mitjançant controls regulars duts a terme per l'autoritat ambiental competent. Les empreses podrien considerar la instal·lació de filtres i altres mesures destinades a reduir les emissions de contaminants atmosfèrics.</v>
      </c>
      <c r="G4" s="73"/>
      <c r="H4" s="73"/>
      <c r="I4" s="73"/>
      <c r="J4" s="73"/>
      <c r="K4" s="73"/>
    </row>
    <row r="5" spans="1:40" ht="150" customHeight="1">
      <c r="B5" s="98" t="s">
        <v>456</v>
      </c>
      <c r="C5" s="267"/>
      <c r="D5" s="120" t="s">
        <v>873</v>
      </c>
      <c r="E5" s="120" t="s">
        <v>874</v>
      </c>
      <c r="F5" s="133" t="s">
        <v>875</v>
      </c>
      <c r="G5" s="136"/>
      <c r="H5" s="136"/>
      <c r="I5" s="136"/>
      <c r="J5" s="136"/>
    </row>
    <row r="6" spans="1:40" ht="50.15" customHeight="1">
      <c r="B6" s="110"/>
      <c r="C6" s="268" t="s">
        <v>369</v>
      </c>
      <c r="D6" s="157" t="s">
        <v>376</v>
      </c>
      <c r="E6" s="156" t="s">
        <v>417</v>
      </c>
      <c r="F6" s="109" t="s">
        <v>371</v>
      </c>
      <c r="G6" s="109" t="s">
        <v>373</v>
      </c>
      <c r="J6" s="134"/>
      <c r="K6" s="165"/>
    </row>
    <row r="7" spans="1:40" ht="150" customHeight="1">
      <c r="B7" s="98" t="s">
        <v>423</v>
      </c>
      <c r="C7" s="266"/>
      <c r="D7" s="95" t="str">
        <f>HLOOKUP(D6,AUTO!$B$1:$AJ$2,2,FALSE)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c r="E7" s="95" t="str">
        <f>HLOOKUP(E6,AUTO!$B$1:$AJ$2,2,FALSE)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F7" s="95" t="str">
        <f>HLOOKUP(F6,AUTO!$B$1:$AJ$2,2,FALSE)</f>
        <v>El desenvolupament del capital humà pot ser un factor important per a empreses en sectors que requereixen coneixements o habilitats específiques. Les empreses que no inverteixen en el desenvolupament dels seus empleats poden perdre competitivitat en el mercat laboral, la qual cosa pot afectar la seva capacitat d'atreure i mantenir personal capacitat. Per assegurar la sostenibilitat social i econòmica en el futur, l'empresa pot oferir oportunitats de creixement al seu personal. En la mateixa línia, per mantenir una posició competitiva al mercat, les empreses han d'invertir en la formació i educació dels seus empleats.</v>
      </c>
      <c r="G7" s="95" t="str">
        <f>HLOOKUP(G6,AUTO!$B$1:$AJ$2,2,FALSE)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J7" s="73"/>
      <c r="K7" s="166"/>
    </row>
    <row r="8" spans="1:40" ht="150" customHeight="1">
      <c r="B8" s="98" t="s">
        <v>456</v>
      </c>
      <c r="C8" s="267"/>
      <c r="D8" s="122" t="s">
        <v>792</v>
      </c>
      <c r="E8" s="120" t="s">
        <v>876</v>
      </c>
      <c r="F8" s="120" t="s">
        <v>1207</v>
      </c>
      <c r="G8" s="120" t="s">
        <v>877</v>
      </c>
      <c r="J8" s="136"/>
      <c r="K8" s="167"/>
    </row>
    <row r="9" spans="1:40" ht="50.15" customHeight="1">
      <c r="B9" s="99"/>
      <c r="C9" s="268" t="s">
        <v>383</v>
      </c>
      <c r="D9" s="156" t="s">
        <v>384</v>
      </c>
      <c r="E9" s="108" t="s">
        <v>422</v>
      </c>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 xml:space="preserve">La gestió de riscos d'incidents crítics és rellevant per a organitzacions que duen a terme activitats o operacions perilloses. En aquest context, les organitzacions que identifiquen, comprenen, prevenen i minimitzen els riscos d'incidents que podrien ocórrer aconseguiran un millor acompliment en termes de sostenibilitat en la seva governança corporativa. Les empreses poden millorar el seu rendiment mitjançant la promoció d'una cultura de seguretat, la implementació de tecnologies que ajudin en la gestió de riscos, la realització d'anàlisi de probabilitat i impacte dels riscos i l'aplicació de mesures per mitigar aquests riscos, entre altres accions.
</v>
      </c>
    </row>
    <row r="11" spans="1:40" ht="150" customHeight="1">
      <c r="A11" s="74"/>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878</v>
      </c>
    </row>
    <row r="12" spans="1:40" ht="33.65" customHeight="1">
      <c r="A12" s="74"/>
      <c r="B12" s="180"/>
      <c r="C12" s="105"/>
      <c r="D12" s="136"/>
      <c r="E12" s="136"/>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556</v>
      </c>
      <c r="O16" s="24"/>
      <c r="Q16"/>
    </row>
    <row r="17" spans="1:17" ht="75" customHeight="1">
      <c r="B17" s="253" t="s">
        <v>1345</v>
      </c>
      <c r="C17" s="256" t="s">
        <v>551</v>
      </c>
      <c r="D17" s="253" t="s">
        <v>557</v>
      </c>
      <c r="E17" s="111" t="s">
        <v>860</v>
      </c>
      <c r="O17" s="24"/>
      <c r="Q17"/>
    </row>
    <row r="18" spans="1:17" ht="75" customHeight="1">
      <c r="B18" s="255"/>
      <c r="C18" s="258"/>
      <c r="D18" s="255"/>
      <c r="E18" s="112" t="s">
        <v>639</v>
      </c>
      <c r="O18" s="24"/>
      <c r="Q18"/>
    </row>
    <row r="19" spans="1:17" ht="60" customHeight="1">
      <c r="B19" s="253" t="s">
        <v>560</v>
      </c>
      <c r="C19" s="256" t="s">
        <v>551</v>
      </c>
      <c r="D19" s="253" t="s">
        <v>861</v>
      </c>
      <c r="E19" s="112" t="s">
        <v>561</v>
      </c>
      <c r="P19"/>
      <c r="Q19"/>
    </row>
    <row r="20" spans="1:17" ht="60" customHeight="1">
      <c r="B20" s="254"/>
      <c r="C20" s="257"/>
      <c r="D20" s="254"/>
      <c r="E20" s="112" t="s">
        <v>562</v>
      </c>
      <c r="P20"/>
      <c r="Q20"/>
    </row>
    <row r="21" spans="1:17" ht="60" customHeight="1">
      <c r="B21" s="255"/>
      <c r="C21" s="258"/>
      <c r="D21" s="255"/>
      <c r="E21" s="112" t="s">
        <v>563</v>
      </c>
      <c r="P21"/>
      <c r="Q21"/>
    </row>
    <row r="22" spans="1:17" ht="175" customHeight="1">
      <c r="B22" s="117" t="s">
        <v>1370</v>
      </c>
      <c r="C22" s="118" t="s">
        <v>551</v>
      </c>
      <c r="D22" s="103" t="s">
        <v>1210</v>
      </c>
      <c r="E22" s="174" t="s">
        <v>676</v>
      </c>
      <c r="O22" s="24"/>
      <c r="Q22"/>
    </row>
    <row r="23" spans="1:17" ht="150" customHeight="1">
      <c r="B23" s="117" t="s">
        <v>1346</v>
      </c>
      <c r="C23" s="118" t="s">
        <v>551</v>
      </c>
      <c r="D23" s="103" t="s">
        <v>1038</v>
      </c>
      <c r="E23" s="174" t="s">
        <v>566</v>
      </c>
      <c r="P23"/>
      <c r="Q23"/>
    </row>
    <row r="24" spans="1:17" ht="211" customHeight="1">
      <c r="B24" s="117" t="s">
        <v>795</v>
      </c>
      <c r="C24" s="118" t="s">
        <v>551</v>
      </c>
      <c r="D24" s="103" t="s">
        <v>1310</v>
      </c>
      <c r="E24" s="227" t="s">
        <v>1307</v>
      </c>
      <c r="P24"/>
      <c r="Q24"/>
    </row>
    <row r="25" spans="1:17" ht="150" customHeight="1">
      <c r="B25" s="117" t="s">
        <v>567</v>
      </c>
      <c r="C25" s="118" t="s">
        <v>551</v>
      </c>
      <c r="D25" s="117" t="s">
        <v>568</v>
      </c>
      <c r="E25" s="112" t="s">
        <v>569</v>
      </c>
      <c r="O25" s="24"/>
      <c r="Q25"/>
    </row>
    <row r="26" spans="1:17" ht="150" customHeight="1">
      <c r="A26" s="78"/>
      <c r="B26" s="117" t="s">
        <v>570</v>
      </c>
      <c r="C26" s="118" t="s">
        <v>551</v>
      </c>
      <c r="D26" s="117" t="s">
        <v>862</v>
      </c>
      <c r="E26" s="112" t="s">
        <v>641</v>
      </c>
      <c r="P26"/>
      <c r="Q26"/>
    </row>
    <row r="27" spans="1:17" ht="150" customHeight="1">
      <c r="A27" s="78"/>
      <c r="B27" s="117" t="s">
        <v>1374</v>
      </c>
      <c r="C27" s="119" t="s">
        <v>1375</v>
      </c>
      <c r="D27" s="117" t="s">
        <v>707</v>
      </c>
      <c r="E27" s="111" t="s">
        <v>574</v>
      </c>
      <c r="G27" s="86"/>
      <c r="H27" s="86"/>
      <c r="I27" s="86"/>
      <c r="J27" s="86"/>
      <c r="K27" s="83"/>
      <c r="L27" s="83"/>
      <c r="M27" s="87"/>
      <c r="N27" s="83"/>
      <c r="O27" s="86"/>
      <c r="P27" s="86"/>
      <c r="Q27" s="83"/>
    </row>
    <row r="28" spans="1:17" ht="115" customHeight="1">
      <c r="A28" s="80"/>
      <c r="B28" s="274" t="s">
        <v>1331</v>
      </c>
      <c r="C28" s="256" t="s">
        <v>551</v>
      </c>
      <c r="D28" s="274" t="s">
        <v>1340</v>
      </c>
      <c r="E28" s="174" t="s">
        <v>575</v>
      </c>
      <c r="G28" s="140"/>
      <c r="H28" s="140"/>
      <c r="I28" s="140"/>
      <c r="P28"/>
      <c r="Q28"/>
    </row>
    <row r="29" spans="1:17" ht="136" customHeight="1">
      <c r="A29" s="80"/>
      <c r="B29" s="275"/>
      <c r="C29" s="272"/>
      <c r="D29" s="288"/>
      <c r="E29" s="227" t="s">
        <v>1329</v>
      </c>
      <c r="G29" s="140"/>
      <c r="H29" s="140"/>
      <c r="I29" s="140"/>
      <c r="P29"/>
      <c r="Q29"/>
    </row>
    <row r="30" spans="1:17" ht="50.15" customHeight="1">
      <c r="B30" s="248" t="s">
        <v>1347</v>
      </c>
      <c r="C30" s="294" t="s">
        <v>551</v>
      </c>
      <c r="D30" s="248" t="s">
        <v>879</v>
      </c>
      <c r="E30" s="112" t="s">
        <v>577</v>
      </c>
      <c r="G30" s="73"/>
      <c r="H30" s="73"/>
      <c r="I30" s="73"/>
      <c r="P30"/>
      <c r="Q30"/>
    </row>
    <row r="31" spans="1:17" ht="50.15" customHeight="1">
      <c r="B31" s="248"/>
      <c r="C31" s="273"/>
      <c r="D31" s="248"/>
      <c r="E31" s="112" t="s">
        <v>578</v>
      </c>
      <c r="G31" s="140"/>
      <c r="H31" s="140"/>
      <c r="P31"/>
      <c r="Q31"/>
    </row>
    <row r="32" spans="1:17" ht="72.650000000000006" customHeight="1">
      <c r="B32" s="248"/>
      <c r="C32" s="273"/>
      <c r="D32" s="248"/>
      <c r="E32" s="112" t="s">
        <v>579</v>
      </c>
      <c r="G32" s="140"/>
      <c r="H32" s="140"/>
      <c r="P32"/>
      <c r="Q32"/>
    </row>
    <row r="33" spans="1:17" ht="150" customHeight="1">
      <c r="A33" s="76"/>
      <c r="B33" s="150" t="s">
        <v>1183</v>
      </c>
      <c r="C33" s="161" t="s">
        <v>551</v>
      </c>
      <c r="D33" s="150" t="s">
        <v>1227</v>
      </c>
      <c r="E33" s="221" t="s">
        <v>643</v>
      </c>
      <c r="P33"/>
      <c r="Q33"/>
    </row>
    <row r="34" spans="1:17" ht="150" customHeight="1">
      <c r="A34" s="76"/>
      <c r="B34" s="150" t="s">
        <v>585</v>
      </c>
      <c r="C34" s="161" t="s">
        <v>551</v>
      </c>
      <c r="D34" s="150" t="s">
        <v>1228</v>
      </c>
      <c r="E34" s="216" t="s">
        <v>586</v>
      </c>
      <c r="P34"/>
      <c r="Q34"/>
    </row>
    <row r="35" spans="1:17" ht="150" customHeight="1">
      <c r="A35" s="73"/>
      <c r="B35" s="150" t="s">
        <v>644</v>
      </c>
      <c r="C35" s="161" t="s">
        <v>551</v>
      </c>
      <c r="D35" s="150" t="s">
        <v>1234</v>
      </c>
      <c r="E35" s="216" t="s">
        <v>645</v>
      </c>
      <c r="P35"/>
      <c r="Q35"/>
    </row>
    <row r="36" spans="1:17">
      <c r="A36" s="76"/>
      <c r="O36" s="24"/>
      <c r="Q36"/>
    </row>
    <row r="37" spans="1:17" ht="13" customHeight="1">
      <c r="A37" s="73"/>
      <c r="O37" s="24"/>
      <c r="Q37"/>
    </row>
    <row r="38" spans="1:17" ht="50.15" customHeight="1">
      <c r="A38" s="73"/>
      <c r="B38" s="250" t="s">
        <v>880</v>
      </c>
      <c r="C38" s="251"/>
      <c r="D38" s="251"/>
      <c r="E38" s="252"/>
      <c r="O38" s="24"/>
      <c r="Q38"/>
    </row>
    <row r="39" spans="1:17" ht="50.15" customHeight="1">
      <c r="A39" s="77"/>
      <c r="B39" s="197" t="s">
        <v>464</v>
      </c>
      <c r="C39" s="197" t="s">
        <v>548</v>
      </c>
      <c r="D39" s="197" t="s">
        <v>423</v>
      </c>
      <c r="E39" s="197" t="s">
        <v>634</v>
      </c>
      <c r="O39" s="24"/>
      <c r="Q39"/>
    </row>
    <row r="40" spans="1:17" ht="80.150000000000006" customHeight="1">
      <c r="A40" s="76"/>
      <c r="B40" s="248" t="s">
        <v>1435</v>
      </c>
      <c r="C40" s="279" t="s">
        <v>551</v>
      </c>
      <c r="D40" s="248" t="s">
        <v>881</v>
      </c>
      <c r="E40" s="112" t="s">
        <v>882</v>
      </c>
      <c r="O40" s="24"/>
      <c r="Q40"/>
    </row>
    <row r="41" spans="1:17" ht="80.150000000000006" customHeight="1">
      <c r="A41" s="76"/>
      <c r="B41" s="248"/>
      <c r="C41" s="294"/>
      <c r="D41" s="281"/>
      <c r="E41" s="112" t="s">
        <v>883</v>
      </c>
      <c r="O41" s="24"/>
      <c r="Q41"/>
    </row>
    <row r="42" spans="1:17" ht="150" customHeight="1">
      <c r="A42" s="70"/>
      <c r="B42" s="117" t="s">
        <v>1436</v>
      </c>
      <c r="C42" s="119" t="s">
        <v>551</v>
      </c>
      <c r="D42" s="117" t="s">
        <v>884</v>
      </c>
      <c r="E42" s="112" t="s">
        <v>885</v>
      </c>
      <c r="O42" s="24"/>
      <c r="Q42"/>
    </row>
    <row r="43" spans="1:17" ht="75" customHeight="1">
      <c r="B43" s="253" t="s">
        <v>1437</v>
      </c>
      <c r="C43" s="259" t="s">
        <v>551</v>
      </c>
      <c r="D43" s="261" t="s">
        <v>1314</v>
      </c>
      <c r="E43" s="112" t="s">
        <v>581</v>
      </c>
      <c r="P43"/>
      <c r="Q43"/>
    </row>
    <row r="44" spans="1:17" ht="77.5" customHeight="1">
      <c r="B44" s="255"/>
      <c r="C44" s="260"/>
      <c r="D44" s="262"/>
      <c r="E44" s="112" t="s">
        <v>582</v>
      </c>
      <c r="P44"/>
      <c r="Q44"/>
    </row>
    <row r="45" spans="1:17" ht="159.65" customHeight="1">
      <c r="B45" s="117" t="s">
        <v>1438</v>
      </c>
      <c r="C45" s="118" t="s">
        <v>551</v>
      </c>
      <c r="D45" s="103" t="s">
        <v>1299</v>
      </c>
      <c r="E45" s="112" t="s">
        <v>886</v>
      </c>
      <c r="O45" s="24"/>
      <c r="Q45"/>
    </row>
    <row r="46" spans="1:17" ht="150" customHeight="1">
      <c r="B46" s="248" t="s">
        <v>1439</v>
      </c>
      <c r="C46" s="279" t="s">
        <v>551</v>
      </c>
      <c r="D46" s="248" t="s">
        <v>1440</v>
      </c>
      <c r="E46" s="112" t="s">
        <v>887</v>
      </c>
      <c r="O46" s="24"/>
      <c r="Q46"/>
    </row>
    <row r="47" spans="1:17" ht="150" customHeight="1">
      <c r="B47" s="248"/>
      <c r="C47" s="294"/>
      <c r="D47" s="248"/>
      <c r="E47" s="112" t="s">
        <v>888</v>
      </c>
      <c r="O47" s="24"/>
      <c r="Q47"/>
    </row>
    <row r="48" spans="1:17" ht="160.5" customHeight="1">
      <c r="B48" s="117" t="s">
        <v>1441</v>
      </c>
      <c r="C48" s="119" t="s">
        <v>551</v>
      </c>
      <c r="D48" s="103" t="s">
        <v>889</v>
      </c>
      <c r="E48" s="112" t="s">
        <v>890</v>
      </c>
      <c r="O48" s="24"/>
      <c r="Q48"/>
    </row>
    <row r="49" spans="2:17" ht="186" customHeight="1">
      <c r="B49" s="117" t="s">
        <v>891</v>
      </c>
      <c r="C49" s="119" t="s">
        <v>551</v>
      </c>
      <c r="D49" s="103" t="s">
        <v>892</v>
      </c>
      <c r="E49" s="112" t="s">
        <v>893</v>
      </c>
      <c r="O49" s="24"/>
      <c r="Q49"/>
    </row>
    <row r="50" spans="2:17" ht="135.65" customHeight="1">
      <c r="B50" s="117" t="s">
        <v>894</v>
      </c>
      <c r="C50" s="118" t="s">
        <v>551</v>
      </c>
      <c r="D50" s="103" t="s">
        <v>895</v>
      </c>
      <c r="E50" s="112" t="s">
        <v>896</v>
      </c>
    </row>
    <row r="51" spans="2:17" ht="172" customHeight="1">
      <c r="B51" s="117" t="s">
        <v>897</v>
      </c>
      <c r="C51" s="118" t="s">
        <v>551</v>
      </c>
      <c r="D51" s="103" t="s">
        <v>898</v>
      </c>
      <c r="E51" s="112" t="s">
        <v>899</v>
      </c>
    </row>
    <row r="52" spans="2:17" ht="150" customHeight="1">
      <c r="B52" s="117" t="s">
        <v>610</v>
      </c>
      <c r="C52" s="119" t="s">
        <v>551</v>
      </c>
      <c r="D52" s="117" t="s">
        <v>1429</v>
      </c>
      <c r="E52" s="223" t="s">
        <v>813</v>
      </c>
    </row>
    <row r="53" spans="2:17" ht="150" customHeight="1">
      <c r="B53" s="117" t="s">
        <v>900</v>
      </c>
      <c r="C53" s="119" t="s">
        <v>551</v>
      </c>
      <c r="D53" s="103" t="s">
        <v>1262</v>
      </c>
      <c r="E53" s="174" t="s">
        <v>901</v>
      </c>
    </row>
    <row r="54" spans="2:17" ht="150" customHeight="1">
      <c r="B54" s="117" t="s">
        <v>1295</v>
      </c>
      <c r="C54" s="119" t="s">
        <v>551</v>
      </c>
      <c r="D54" s="103" t="s">
        <v>1263</v>
      </c>
      <c r="E54" s="227" t="s">
        <v>1296</v>
      </c>
      <c r="F54" s="231"/>
    </row>
    <row r="55" spans="2:17" ht="150" customHeight="1">
      <c r="B55" s="117" t="s">
        <v>1220</v>
      </c>
      <c r="C55" s="119" t="s">
        <v>551</v>
      </c>
      <c r="D55" s="103" t="s">
        <v>1442</v>
      </c>
      <c r="E55" s="227" t="s">
        <v>1221</v>
      </c>
    </row>
    <row r="56" spans="2:17" ht="150" customHeight="1">
      <c r="B56" s="117" t="s">
        <v>902</v>
      </c>
      <c r="C56" s="119" t="s">
        <v>551</v>
      </c>
      <c r="D56" s="103" t="s">
        <v>1264</v>
      </c>
      <c r="E56" s="174" t="s">
        <v>903</v>
      </c>
    </row>
  </sheetData>
  <mergeCells count="26">
    <mergeCell ref="B46:B47"/>
    <mergeCell ref="C46:C47"/>
    <mergeCell ref="D46:D47"/>
    <mergeCell ref="C9:C11"/>
    <mergeCell ref="B43:B44"/>
    <mergeCell ref="C43:C44"/>
    <mergeCell ref="D43:D44"/>
    <mergeCell ref="B28:B29"/>
    <mergeCell ref="C28:C29"/>
    <mergeCell ref="D28:D29"/>
    <mergeCell ref="C4:C5"/>
    <mergeCell ref="C6:C8"/>
    <mergeCell ref="B40:B41"/>
    <mergeCell ref="C40:C41"/>
    <mergeCell ref="B30:B32"/>
    <mergeCell ref="C30:C32"/>
    <mergeCell ref="B17:B18"/>
    <mergeCell ref="C17:C18"/>
    <mergeCell ref="B13:E13"/>
    <mergeCell ref="B38:E38"/>
    <mergeCell ref="B19:B21"/>
    <mergeCell ref="C19:C21"/>
    <mergeCell ref="D19:D21"/>
    <mergeCell ref="D30:D32"/>
    <mergeCell ref="D17:D18"/>
    <mergeCell ref="D40:D41"/>
  </mergeCells>
  <conditionalFormatting sqref="A33:A38">
    <cfRule type="containsText" dxfId="406" priority="6" operator="containsText" text="No Aplica">
      <formula>NOT(ISERROR(SEARCH("No Aplica",A33)))</formula>
    </cfRule>
    <cfRule type="containsText" dxfId="405" priority="7" operator="containsText" text="Seleccionar">
      <formula>NOT(ISERROR(SEARCH("Seleccionar",A33)))</formula>
    </cfRule>
    <cfRule type="containsText" dxfId="404" priority="8" operator="containsText" text="Parcialmente Cumple">
      <formula>NOT(ISERROR(SEARCH("Parcialmente Cumple",A33)))</formula>
    </cfRule>
    <cfRule type="containsText" dxfId="403" priority="9" operator="containsText" text="No Cumple">
      <formula>NOT(ISERROR(SEARCH("No Cumple",A33)))</formula>
    </cfRule>
    <cfRule type="beginsWith" dxfId="402" priority="10" operator="beginsWith" text="Cumple">
      <formula>LEFT(A33,LEN("Cumple"))="Cumple"</formula>
    </cfRule>
  </conditionalFormatting>
  <conditionalFormatting sqref="C3:C11">
    <cfRule type="containsText" dxfId="401" priority="81" operator="containsText" text="No Aplica">
      <formula>NOT(ISERROR(SEARCH("No Aplica",C3)))</formula>
    </cfRule>
    <cfRule type="containsText" dxfId="400" priority="82" operator="containsText" text="Pendiente">
      <formula>NOT(ISERROR(SEARCH("Pendiente",C3)))</formula>
    </cfRule>
    <cfRule type="containsText" dxfId="399" priority="83" operator="containsText" text="Parcialmente Cumple">
      <formula>NOT(ISERROR(SEARCH("Parcialmente Cumple",C3)))</formula>
    </cfRule>
    <cfRule type="containsText" dxfId="398" priority="84" operator="containsText" text="No Cumple">
      <formula>NOT(ISERROR(SEARCH("No Cumple",C3)))</formula>
    </cfRule>
    <cfRule type="beginsWith" dxfId="397" priority="85" operator="beginsWith" text="Cumple">
      <formula>LEFT(C3,LEN("Cumple"))="Cumple"</formula>
    </cfRule>
  </conditionalFormatting>
  <conditionalFormatting sqref="D14:D19">
    <cfRule type="containsText" dxfId="396" priority="21" operator="containsText" text="No Aplica">
      <formula>NOT(ISERROR(SEARCH("No Aplica",D14)))</formula>
    </cfRule>
    <cfRule type="containsText" dxfId="395" priority="22" operator="containsText" text="Pendiente">
      <formula>NOT(ISERROR(SEARCH("Pendiente",D14)))</formula>
    </cfRule>
    <cfRule type="containsText" dxfId="394" priority="23" operator="containsText" text="Parcialmente Cumple">
      <formula>NOT(ISERROR(SEARCH("Parcialmente Cumple",D14)))</formula>
    </cfRule>
    <cfRule type="containsText" dxfId="393" priority="24" operator="containsText" text="No Cumple">
      <formula>NOT(ISERROR(SEARCH("No Cumple",D14)))</formula>
    </cfRule>
    <cfRule type="beginsWith" dxfId="392" priority="25" operator="beginsWith" text="Cumple">
      <formula>LEFT(D14,LEN("Cumple"))="Cumple"</formula>
    </cfRule>
  </conditionalFormatting>
  <conditionalFormatting sqref="D23:D27">
    <cfRule type="containsText" dxfId="391" priority="46" operator="containsText" text="No Aplica">
      <formula>NOT(ISERROR(SEARCH("No Aplica",D23)))</formula>
    </cfRule>
    <cfRule type="containsText" dxfId="390" priority="47" operator="containsText" text="Pendiente">
      <formula>NOT(ISERROR(SEARCH("Pendiente",D23)))</formula>
    </cfRule>
    <cfRule type="containsText" dxfId="389" priority="48" operator="containsText" text="Parcialmente Cumple">
      <formula>NOT(ISERROR(SEARCH("Parcialmente Cumple",D23)))</formula>
    </cfRule>
    <cfRule type="containsText" dxfId="388" priority="49" operator="containsText" text="No Cumple">
      <formula>NOT(ISERROR(SEARCH("No Cumple",D23)))</formula>
    </cfRule>
    <cfRule type="beginsWith" dxfId="387" priority="50" operator="beginsWith" text="Cumple">
      <formula>LEFT(D23,LEN("Cumple"))="Cumple"</formula>
    </cfRule>
  </conditionalFormatting>
  <conditionalFormatting sqref="D30:D32">
    <cfRule type="containsText" dxfId="386" priority="36" operator="containsText" text="No Aplica">
      <formula>NOT(ISERROR(SEARCH("No Aplica",D30)))</formula>
    </cfRule>
    <cfRule type="containsText" dxfId="385" priority="37" operator="containsText" text="Pendiente">
      <formula>NOT(ISERROR(SEARCH("Pendiente",D30)))</formula>
    </cfRule>
    <cfRule type="containsText" dxfId="384" priority="38" operator="containsText" text="Parcialmente Cumple">
      <formula>NOT(ISERROR(SEARCH("Parcialmente Cumple",D30)))</formula>
    </cfRule>
    <cfRule type="containsText" dxfId="383" priority="39" operator="containsText" text="No Cumple">
      <formula>NOT(ISERROR(SEARCH("No Cumple",D30)))</formula>
    </cfRule>
    <cfRule type="beginsWith" dxfId="382" priority="40" operator="beginsWith" text="Cumple">
      <formula>LEFT(D30,LEN("Cumple"))="Cumple"</formula>
    </cfRule>
  </conditionalFormatting>
  <conditionalFormatting sqref="D39">
    <cfRule type="containsText" dxfId="381" priority="12" operator="containsText" text="Pendiente">
      <formula>NOT(ISERROR(SEARCH("Pendiente",D39)))</formula>
    </cfRule>
    <cfRule type="containsText" dxfId="380" priority="13" operator="containsText" text="Parcialmente Cumple">
      <formula>NOT(ISERROR(SEARCH("Parcialmente Cumple",D39)))</formula>
    </cfRule>
    <cfRule type="containsText" dxfId="379" priority="14" operator="containsText" text="No Cumple">
      <formula>NOT(ISERROR(SEARCH("No Cumple",D39)))</formula>
    </cfRule>
    <cfRule type="beginsWith" dxfId="378" priority="15" operator="beginsWith" text="Cumple">
      <formula>LEFT(D39,LEN("Cumple"))="Cumple"</formula>
    </cfRule>
  </conditionalFormatting>
  <conditionalFormatting sqref="D43">
    <cfRule type="containsText" dxfId="377" priority="1" operator="containsText" text="No Aplica">
      <formula>NOT(ISERROR(SEARCH("No Aplica",D43)))</formula>
    </cfRule>
    <cfRule type="containsText" dxfId="376" priority="2" operator="containsText" text="Pendiente">
      <formula>NOT(ISERROR(SEARCH("Pendiente",D43)))</formula>
    </cfRule>
    <cfRule type="containsText" dxfId="375" priority="3" operator="containsText" text="Parcialmente Cumple">
      <formula>NOT(ISERROR(SEARCH("Parcialmente Cumple",D43)))</formula>
    </cfRule>
    <cfRule type="containsText" dxfId="374" priority="4" operator="containsText" text="No Cumple">
      <formula>NOT(ISERROR(SEARCH("No Cumple",D43)))</formula>
    </cfRule>
    <cfRule type="beginsWith" dxfId="373" priority="5" operator="beginsWith" text="Cumple">
      <formula>LEFT(D43,LEN("Cumple"))="Cumple"</formula>
    </cfRule>
  </conditionalFormatting>
  <conditionalFormatting sqref="D39:E39">
    <cfRule type="containsText" dxfId="372" priority="11" operator="containsText" text="No Aplica">
      <formula>NOT(ISERROR(SEARCH("No Aplica",D39)))</formula>
    </cfRule>
  </conditionalFormatting>
  <conditionalFormatting sqref="E14">
    <cfRule type="containsText" dxfId="371" priority="26" operator="containsText" text="No Aplica">
      <formula>NOT(ISERROR(SEARCH("No Aplica",E14)))</formula>
    </cfRule>
    <cfRule type="containsText" dxfId="370" priority="27" operator="containsText" text="Seleccionar">
      <formula>NOT(ISERROR(SEARCH("Seleccionar",E14)))</formula>
    </cfRule>
    <cfRule type="containsText" dxfId="369" priority="28" operator="containsText" text="Parcialmente Cumple">
      <formula>NOT(ISERROR(SEARCH("Parcialmente Cumple",E14)))</formula>
    </cfRule>
    <cfRule type="containsText" dxfId="368" priority="29" operator="containsText" text="No Cumple">
      <formula>NOT(ISERROR(SEARCH("No Cumple",E14)))</formula>
    </cfRule>
    <cfRule type="beginsWith" dxfId="367" priority="30" operator="beginsWith" text="Cumple">
      <formula>LEFT(E14,LEN("Cumple"))="Cumple"</formula>
    </cfRule>
  </conditionalFormatting>
  <conditionalFormatting sqref="E39">
    <cfRule type="containsText" dxfId="366" priority="17" operator="containsText" text="Seleccionar">
      <formula>NOT(ISERROR(SEARCH("Seleccionar",E39)))</formula>
    </cfRule>
    <cfRule type="containsText" dxfId="365" priority="18" operator="containsText" text="Parcialmente Cumple">
      <formula>NOT(ISERROR(SEARCH("Parcialmente Cumple",E39)))</formula>
    </cfRule>
    <cfRule type="containsText" dxfId="364" priority="19" operator="containsText" text="No Cumple">
      <formula>NOT(ISERROR(SEARCH("No Cumple",E39)))</formula>
    </cfRule>
    <cfRule type="beginsWith" dxfId="363" priority="20" operator="beginsWith" text="Cumple">
      <formula>LEFT(E39,LEN("Cumple"))="Cumple"</formula>
    </cfRule>
  </conditionalFormatting>
  <conditionalFormatting sqref="E42">
    <cfRule type="containsText" dxfId="362" priority="186" operator="containsText" text="No Aplica">
      <formula>NOT(ISERROR(SEARCH("No Aplica",E42)))</formula>
    </cfRule>
    <cfRule type="containsText" dxfId="361" priority="187" operator="containsText" text="Seleccionar">
      <formula>NOT(ISERROR(SEARCH("Seleccionar",E42)))</formula>
    </cfRule>
    <cfRule type="containsText" dxfId="360" priority="188" operator="containsText" text="Parcialmente Cumple">
      <formula>NOT(ISERROR(SEARCH("Parcialmente Cumple",E42)))</formula>
    </cfRule>
    <cfRule type="containsText" dxfId="359" priority="189" operator="containsText" text="No Cumple">
      <formula>NOT(ISERROR(SEARCH("No Cumple",E42)))</formula>
    </cfRule>
    <cfRule type="beginsWith" dxfId="358" priority="190" operator="beginsWith" text="Cumple">
      <formula>LEFT(E42,LEN("Cumple"))="Cumple"</formula>
    </cfRule>
  </conditionalFormatting>
  <hyperlinks>
    <hyperlink ref="E42" r:id="rId1" display="Consulta directiva 2014/94/UE"/>
    <hyperlink ref="E41" r:id="rId2" display="Consulta la propuesta para la actualización Euro 7"/>
    <hyperlink ref="E40" r:id="rId3" display="Consulta información sobre el Euro 6"/>
    <hyperlink ref="E45" r:id="rId4" display="Consulta información sobre Moves III"/>
    <hyperlink ref="E46" r:id="rId5" location="les-zbe-a-catalunya" display="Consulta información sobre las ZBE a Catalunya"/>
    <hyperlink ref="E47" r:id="rId6" display="Consulta información sobre las ZBEs en la UE"/>
    <hyperlink ref="E48" r:id="rId7" display="Consulta la etiqueta de UE para neumáticos"/>
    <hyperlink ref="E49" r:id="rId8" display="Consulta infomración sobre Transporte Multimodal "/>
    <hyperlink ref="E16" r:id="rId9" display="Consulta información sobre ISO 9001"/>
    <hyperlink ref="E18" r:id="rId10" display="Consulta información sobre ISO 14001"/>
    <hyperlink ref="E19" r:id="rId11" display="Consulta más información sobre el CSRD"/>
    <hyperlink ref="E20" r:id="rId12" display="Consulta ley 11/2018"/>
    <hyperlink ref="E21" r:id="rId13" display="Consulta más información sobre el marco GRI"/>
    <hyperlink ref="E22" r:id="rId14" display="Consulta información sobre el GHG Protocol"/>
    <hyperlink ref="E23" r:id="rId15" display="Consulta el Documento de Referencia sobre las mejores tecnologías disponibles en términos de eficiencia energética"/>
    <hyperlink ref="E27" r:id="rId16" display="Consulta el Real Decreto 901/2020"/>
    <hyperlink ref="E28" r:id="rId17" display="Consulta Ley 7/2022"/>
    <hyperlink ref="E30" r:id="rId18" display="Consulta información sobre el Sustainable Packiging Coalition"/>
    <hyperlink ref="E31" r:id="rId19" display="Consulta información sobre la ley de plásticos de un solo uso"/>
    <hyperlink ref="E32" r:id="rId20" display="Consulta información sobre impuestos sobre los envases de plástico no reutilizables"/>
    <hyperlink ref="E50" r:id="rId21" display="Consulta el sitio web de Railfreightforward"/>
    <hyperlink ref="E51" r:id="rId22" display="Consulta el sitio web de Shift2Rail"/>
    <hyperlink ref="E17" r:id="rId23" display="Consulta informació sobre EMAS"/>
    <hyperlink ref="E25" r:id="rId24" display="https://act.gencat.cat/wp-content/uploads/2019/05/CAT-ACT-POL%C3%8DTICA-DE-PRIVACITAT.pdf"/>
    <hyperlink ref="E26" r:id="rId25" display="Consulta un exemple de codi de conducta/ètica de proveïdors"/>
    <hyperlink ref="E15" r:id="rId26" display="Consulta més informació sobre el codi de conducta"/>
    <hyperlink ref="E52" r:id="rId27"/>
    <hyperlink ref="E33" r:id="rId28" display="https://treball.gencat.cat/ca/ambits/seguretat_i_salut_laboral/ci_/pla-govern/"/>
    <hyperlink ref="E34" r:id="rId29" display="https://govern.cat/gov/pla-govern?eix=0&amp;ambit=1"/>
    <hyperlink ref="E35" r:id="rId30" display="https://fonseuropeus.gencat.cat/ca/ris3cat/2030/index.html"/>
    <hyperlink ref="E53" r:id="rId31" location="manual-per-a-la-identificacio-i-avaluacio-de-riscos-laborals-dels-conductors-del-sector-transport-per-carretera"/>
    <hyperlink ref="E55" r:id="rId32"/>
    <hyperlink ref="E56" r:id="rId33"/>
    <hyperlink ref="E43" r:id="rId34" display="Consulta información sobre la iniciativa Lean and Green"/>
    <hyperlink ref="E44" r:id="rId35" display="https://canviclimatic.gencat.cat/ca/oficina/index.html"/>
    <hyperlink ref="E54" r:id="rId36"/>
    <hyperlink ref="E24" r:id="rId37"/>
    <hyperlink ref="E29" r:id="rId38"/>
  </hyperlinks>
  <pageMargins left="0.7" right="0.7" top="0.75" bottom="0.75" header="0.3" footer="0.3"/>
  <pageSetup paperSize="9" orientation="portrait" r:id="rId3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theme="9" tint="0.39997558519241921"/>
  </sheetPr>
  <dimension ref="A1:AN40"/>
  <sheetViews>
    <sheetView zoomScale="70" zoomScaleNormal="70" workbookViewId="0">
      <selection activeCell="E1" sqref="E1"/>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102" t="s">
        <v>904</v>
      </c>
      <c r="E1" s="93" t="s">
        <v>905</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57" t="s">
        <v>906</v>
      </c>
      <c r="E3" s="157" t="s">
        <v>907</v>
      </c>
      <c r="G3" s="152"/>
      <c r="H3" s="152"/>
      <c r="I3" s="153"/>
      <c r="J3" s="153"/>
      <c r="K3" s="153"/>
    </row>
    <row r="4" spans="1:40" ht="150" customHeight="1">
      <c r="B4" s="98" t="s">
        <v>423</v>
      </c>
      <c r="C4" s="266" t="s">
        <v>908</v>
      </c>
      <c r="D4" s="95" t="e">
        <f>HLOOKUP(D3,AUTO!$B$1:$AJ$2,2,FALSE)</f>
        <v>#N/A</v>
      </c>
      <c r="E4" s="95" t="e">
        <f>HLOOKUP(E3,AUTO!$B$1:$AJ$2,2,FALSE)</f>
        <v>#N/A</v>
      </c>
      <c r="G4" s="73"/>
      <c r="H4" s="73"/>
      <c r="I4" s="73"/>
      <c r="J4" s="73"/>
      <c r="K4" s="73"/>
    </row>
    <row r="5" spans="1:40" ht="150" customHeight="1">
      <c r="B5" s="98" t="s">
        <v>456</v>
      </c>
      <c r="C5" s="267"/>
      <c r="D5" s="120" t="s">
        <v>909</v>
      </c>
      <c r="E5" s="133" t="s">
        <v>910</v>
      </c>
      <c r="G5" s="136"/>
      <c r="H5" s="136"/>
      <c r="I5" s="136"/>
      <c r="J5" s="136"/>
    </row>
    <row r="6" spans="1:40" ht="50.15" customHeight="1">
      <c r="B6" s="110"/>
      <c r="C6" s="268" t="s">
        <v>369</v>
      </c>
      <c r="D6" s="157" t="s">
        <v>911</v>
      </c>
      <c r="E6" s="156" t="s">
        <v>912</v>
      </c>
      <c r="F6" s="108" t="s">
        <v>382</v>
      </c>
      <c r="J6" s="134"/>
      <c r="K6" s="165"/>
    </row>
    <row r="7" spans="1:40" ht="150" customHeight="1">
      <c r="B7" s="98" t="s">
        <v>423</v>
      </c>
      <c r="C7" s="266"/>
      <c r="D7" s="95" t="str">
        <f>HLOOKUP(D6,AUTO!$B$1:$AJ$2,2,FALSE)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c r="E7" s="95" t="e">
        <f>HLOOKUP(E6,AUTO!$B$1:$AJ$2,2,FALSE)</f>
        <v>#N/A</v>
      </c>
      <c r="F7" s="115" t="str">
        <f>HLOOKUP(F6,AUTO!$B$1:$AJ$2,2,FALSE)</f>
        <v>Les organitzacions tenen un impacte sobre les comunitats on operen, tant a través d'impactes físics com a través de la interacció amb els membres d'aquestes comunitats que treballen a l'empresa. Per tant, és fonamental establir relacions sòlides i respectuoses envers les comunitats afectades a través d'un diàleg que permeti comprendre i abordar els impactes negatius generats per les operacions. Algunes eines que es poden utilitzar per mantenir relacions efectives amb les comunitats inclouen la realització de reunions periòdiques amb representants de la comunitat, la incorporació de membres de la societat a l'empresa i el manteniment d'una comunicació constant amb organitzacions locals.</v>
      </c>
      <c r="J7" s="73"/>
      <c r="K7" s="166"/>
    </row>
    <row r="8" spans="1:40" ht="150" customHeight="1">
      <c r="B8" s="98" t="s">
        <v>456</v>
      </c>
      <c r="C8" s="267"/>
      <c r="D8" s="122" t="s">
        <v>913</v>
      </c>
      <c r="E8" s="120" t="s">
        <v>914</v>
      </c>
      <c r="F8" s="131" t="s">
        <v>915</v>
      </c>
      <c r="J8" s="136"/>
      <c r="K8" s="167"/>
    </row>
    <row r="9" spans="1:40" ht="50.15" customHeight="1">
      <c r="B9" s="99"/>
      <c r="C9" s="268" t="s">
        <v>383</v>
      </c>
      <c r="D9" s="156" t="s">
        <v>916</v>
      </c>
      <c r="E9" s="108" t="s">
        <v>917</v>
      </c>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 xml:space="preserve">La gestió de riscos d'incidents crítics és rellevant per a organitzacions que duen a terme activitats o operacions perilloses. En aquest context, les organitzacions que identifiquen, comprenen, prevenen i minimitzen els riscos d'incidents que podrien ocórrer aconseguiran un millor acompliment en termes de sostenibilitat en la seva governança corporativa. Les empreses poden millorar el seu rendiment mitjançant la promoció d'una cultura de seguretat, la implementació de tecnologies que ajudin en la gestió de riscos, la realització d'anàlisi de probabilitat i impacte dels riscos i l'aplicació de mesures per mitigar aquests riscos, entre altres accions.
</v>
      </c>
    </row>
    <row r="11" spans="1:40" ht="150" customHeight="1">
      <c r="A11" s="74"/>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918</v>
      </c>
    </row>
    <row r="12" spans="1:40" ht="33.65" customHeight="1">
      <c r="A12" s="74"/>
      <c r="B12" s="180"/>
      <c r="C12" s="105"/>
      <c r="D12" s="136"/>
      <c r="E12" s="136"/>
    </row>
    <row r="13" spans="1:40" ht="50.15" customHeight="1">
      <c r="A13" s="78"/>
      <c r="B13" s="298" t="s">
        <v>919</v>
      </c>
      <c r="C13" s="299"/>
      <c r="D13" s="299"/>
      <c r="E13" s="300"/>
      <c r="O13" s="24"/>
      <c r="Q13"/>
    </row>
    <row r="14" spans="1:40" ht="50.15" customHeight="1">
      <c r="A14" s="78"/>
      <c r="B14" s="176" t="s">
        <v>464</v>
      </c>
      <c r="C14" s="176" t="s">
        <v>548</v>
      </c>
      <c r="D14" s="176" t="s">
        <v>423</v>
      </c>
      <c r="E14" s="176" t="s">
        <v>634</v>
      </c>
      <c r="O14" s="24"/>
      <c r="Q14"/>
    </row>
    <row r="15" spans="1:40" ht="150" customHeight="1">
      <c r="A15" s="78"/>
      <c r="B15" s="117" t="s">
        <v>920</v>
      </c>
      <c r="C15" s="118" t="s">
        <v>551</v>
      </c>
      <c r="D15" s="117" t="s">
        <v>921</v>
      </c>
      <c r="E15" s="112" t="s">
        <v>922</v>
      </c>
      <c r="O15" s="24"/>
      <c r="Q15"/>
    </row>
    <row r="16" spans="1:40" ht="150" customHeight="1">
      <c r="B16" s="117" t="s">
        <v>923</v>
      </c>
      <c r="C16" s="118" t="s">
        <v>551</v>
      </c>
      <c r="D16" s="117" t="s">
        <v>924</v>
      </c>
      <c r="E16" s="112" t="s">
        <v>925</v>
      </c>
      <c r="O16" s="24"/>
      <c r="Q16"/>
    </row>
    <row r="17" spans="1:17" ht="75" customHeight="1">
      <c r="B17" s="253" t="s">
        <v>926</v>
      </c>
      <c r="C17" s="256" t="s">
        <v>551</v>
      </c>
      <c r="D17" s="253" t="s">
        <v>927</v>
      </c>
      <c r="E17" s="111" t="s">
        <v>673</v>
      </c>
      <c r="O17" s="24"/>
      <c r="Q17"/>
    </row>
    <row r="18" spans="1:17" ht="75" customHeight="1">
      <c r="B18" s="255"/>
      <c r="C18" s="258"/>
      <c r="D18" s="255"/>
      <c r="E18" s="112" t="s">
        <v>674</v>
      </c>
      <c r="O18" s="24"/>
      <c r="Q18"/>
    </row>
    <row r="19" spans="1:17" ht="50.15" customHeight="1">
      <c r="B19" s="263" t="s">
        <v>928</v>
      </c>
      <c r="C19" s="256" t="s">
        <v>551</v>
      </c>
      <c r="D19" s="253" t="s">
        <v>929</v>
      </c>
      <c r="E19" s="112" t="s">
        <v>930</v>
      </c>
      <c r="P19"/>
      <c r="Q19"/>
    </row>
    <row r="20" spans="1:17" ht="50.15" customHeight="1">
      <c r="B20" s="264"/>
      <c r="C20" s="257"/>
      <c r="D20" s="254"/>
      <c r="E20" s="112" t="s">
        <v>931</v>
      </c>
      <c r="P20"/>
      <c r="Q20"/>
    </row>
    <row r="21" spans="1:17" ht="50.15" customHeight="1">
      <c r="B21" s="265"/>
      <c r="C21" s="258"/>
      <c r="D21" s="255"/>
      <c r="E21" s="112" t="s">
        <v>932</v>
      </c>
      <c r="P21"/>
      <c r="Q21"/>
    </row>
    <row r="22" spans="1:17" ht="150" customHeight="1">
      <c r="B22" s="117" t="s">
        <v>933</v>
      </c>
      <c r="C22" s="118" t="s">
        <v>551</v>
      </c>
      <c r="D22" s="103" t="s">
        <v>934</v>
      </c>
      <c r="E22" s="174" t="s">
        <v>935</v>
      </c>
      <c r="O22" s="24"/>
      <c r="Q22"/>
    </row>
    <row r="23" spans="1:17" ht="150" customHeight="1">
      <c r="B23" s="117" t="s">
        <v>706</v>
      </c>
      <c r="C23" s="118" t="s">
        <v>551</v>
      </c>
      <c r="D23" s="103" t="s">
        <v>936</v>
      </c>
      <c r="E23" s="174" t="s">
        <v>937</v>
      </c>
      <c r="P23"/>
      <c r="Q23"/>
    </row>
    <row r="24" spans="1:17" ht="150" customHeight="1">
      <c r="B24" s="117" t="s">
        <v>938</v>
      </c>
      <c r="C24" s="118" t="s">
        <v>551</v>
      </c>
      <c r="D24" s="117" t="s">
        <v>939</v>
      </c>
      <c r="E24" s="112" t="s">
        <v>940</v>
      </c>
      <c r="P24"/>
      <c r="Q24"/>
    </row>
    <row r="25" spans="1:17" ht="150" customHeight="1">
      <c r="A25" s="78"/>
      <c r="B25" s="117" t="s">
        <v>941</v>
      </c>
      <c r="C25" s="118" t="s">
        <v>551</v>
      </c>
      <c r="D25" s="117" t="s">
        <v>942</v>
      </c>
      <c r="E25" s="112" t="s">
        <v>943</v>
      </c>
      <c r="P25"/>
      <c r="Q25"/>
    </row>
    <row r="26" spans="1:17" ht="150" customHeight="1">
      <c r="A26" s="78"/>
      <c r="B26" s="117" t="s">
        <v>944</v>
      </c>
      <c r="C26" s="119" t="s">
        <v>573</v>
      </c>
      <c r="D26" s="117" t="s">
        <v>945</v>
      </c>
      <c r="E26" s="111" t="s">
        <v>946</v>
      </c>
      <c r="G26" s="86"/>
      <c r="H26" s="86"/>
      <c r="I26" s="86"/>
      <c r="J26" s="86"/>
      <c r="K26" s="86"/>
      <c r="L26" s="83"/>
      <c r="P26"/>
      <c r="Q26"/>
    </row>
    <row r="27" spans="1:17" ht="150" customHeight="1">
      <c r="B27" s="103" t="s">
        <v>947</v>
      </c>
      <c r="C27" s="101" t="s">
        <v>551</v>
      </c>
      <c r="D27" s="100" t="s">
        <v>948</v>
      </c>
      <c r="E27" s="174" t="s">
        <v>949</v>
      </c>
      <c r="G27" s="140"/>
      <c r="H27" s="140"/>
      <c r="P27"/>
      <c r="Q27"/>
    </row>
    <row r="28" spans="1:17" ht="50.15" customHeight="1">
      <c r="A28" s="76"/>
      <c r="B28" s="253" t="s">
        <v>950</v>
      </c>
      <c r="C28" s="276" t="s">
        <v>551</v>
      </c>
      <c r="D28" s="253" t="s">
        <v>951</v>
      </c>
      <c r="E28" s="112" t="s">
        <v>952</v>
      </c>
      <c r="P28"/>
      <c r="Q28"/>
    </row>
    <row r="29" spans="1:17" ht="50.15" customHeight="1">
      <c r="A29" s="73"/>
      <c r="B29" s="254"/>
      <c r="C29" s="271"/>
      <c r="D29" s="254"/>
      <c r="E29" s="112" t="s">
        <v>953</v>
      </c>
      <c r="P29"/>
      <c r="Q29"/>
    </row>
    <row r="30" spans="1:17" ht="50.15" customHeight="1">
      <c r="A30" s="73"/>
      <c r="B30" s="255"/>
      <c r="C30" s="272"/>
      <c r="D30" s="255"/>
      <c r="E30" s="112" t="s">
        <v>954</v>
      </c>
      <c r="P30"/>
      <c r="Q30"/>
    </row>
    <row r="31" spans="1:17">
      <c r="P31"/>
      <c r="Q31"/>
    </row>
    <row r="32" spans="1:17">
      <c r="P32"/>
      <c r="Q32"/>
    </row>
    <row r="33" spans="2:17" ht="50.15" customHeight="1">
      <c r="B33" s="298" t="s">
        <v>955</v>
      </c>
      <c r="C33" s="299"/>
      <c r="D33" s="299"/>
      <c r="E33" s="300"/>
      <c r="P33"/>
      <c r="Q33"/>
    </row>
    <row r="34" spans="2:17" ht="50.15" customHeight="1">
      <c r="B34" s="176" t="s">
        <v>464</v>
      </c>
      <c r="C34" s="176" t="s">
        <v>548</v>
      </c>
      <c r="D34" s="176" t="s">
        <v>423</v>
      </c>
      <c r="E34" s="176" t="s">
        <v>634</v>
      </c>
      <c r="P34"/>
      <c r="Q34"/>
    </row>
    <row r="35" spans="2:17" ht="150" customHeight="1">
      <c r="B35" s="117" t="s">
        <v>956</v>
      </c>
      <c r="C35" s="118" t="s">
        <v>551</v>
      </c>
      <c r="D35" s="117" t="s">
        <v>957</v>
      </c>
      <c r="E35" s="112" t="s">
        <v>958</v>
      </c>
      <c r="P35"/>
      <c r="Q35"/>
    </row>
    <row r="36" spans="2:17" ht="150" customHeight="1">
      <c r="B36" s="117" t="s">
        <v>959</v>
      </c>
      <c r="C36" s="118" t="s">
        <v>551</v>
      </c>
      <c r="D36" s="103" t="s">
        <v>960</v>
      </c>
      <c r="E36" s="112" t="s">
        <v>961</v>
      </c>
      <c r="P36"/>
      <c r="Q36"/>
    </row>
    <row r="37" spans="2:17" ht="150" customHeight="1">
      <c r="B37" s="117" t="s">
        <v>962</v>
      </c>
      <c r="C37" s="118" t="s">
        <v>551</v>
      </c>
      <c r="D37" s="103" t="s">
        <v>963</v>
      </c>
      <c r="E37" s="112" t="s">
        <v>964</v>
      </c>
      <c r="P37"/>
      <c r="Q37"/>
    </row>
    <row r="38" spans="2:17" ht="150" customHeight="1">
      <c r="B38" s="117" t="s">
        <v>965</v>
      </c>
      <c r="C38" s="118" t="s">
        <v>551</v>
      </c>
      <c r="D38" s="103" t="s">
        <v>966</v>
      </c>
      <c r="E38" s="112" t="s">
        <v>967</v>
      </c>
      <c r="O38" s="24"/>
      <c r="Q38"/>
    </row>
    <row r="39" spans="2:17" ht="150" customHeight="1">
      <c r="B39" s="117" t="s">
        <v>968</v>
      </c>
      <c r="C39" s="118" t="s">
        <v>551</v>
      </c>
      <c r="D39" s="103" t="s">
        <v>969</v>
      </c>
      <c r="E39" s="112" t="s">
        <v>970</v>
      </c>
      <c r="O39" s="24"/>
      <c r="Q39"/>
    </row>
    <row r="40" spans="2:17" ht="150" customHeight="1">
      <c r="B40" s="117" t="s">
        <v>971</v>
      </c>
      <c r="C40" s="118" t="s">
        <v>551</v>
      </c>
      <c r="D40" s="103" t="s">
        <v>972</v>
      </c>
      <c r="E40" s="112" t="s">
        <v>973</v>
      </c>
      <c r="O40" s="24"/>
      <c r="Q40"/>
    </row>
  </sheetData>
  <mergeCells count="14">
    <mergeCell ref="C4:C5"/>
    <mergeCell ref="C6:C8"/>
    <mergeCell ref="C9:C11"/>
    <mergeCell ref="B17:B18"/>
    <mergeCell ref="D17:D18"/>
    <mergeCell ref="C17:C18"/>
    <mergeCell ref="B13:E13"/>
    <mergeCell ref="B33:E33"/>
    <mergeCell ref="B19:B21"/>
    <mergeCell ref="C19:C21"/>
    <mergeCell ref="D19:D21"/>
    <mergeCell ref="B28:B30"/>
    <mergeCell ref="C28:C30"/>
    <mergeCell ref="D28:D30"/>
  </mergeCells>
  <conditionalFormatting sqref="A28:A30">
    <cfRule type="containsText" dxfId="357" priority="156" operator="containsText" text="No Aplica">
      <formula>NOT(ISERROR(SEARCH("No Aplica",A28)))</formula>
    </cfRule>
    <cfRule type="containsText" dxfId="356" priority="157" operator="containsText" text="Seleccionar">
      <formula>NOT(ISERROR(SEARCH("Seleccionar",A28)))</formula>
    </cfRule>
    <cfRule type="containsText" dxfId="355" priority="158" operator="containsText" text="Parcialmente Cumple">
      <formula>NOT(ISERROR(SEARCH("Parcialmente Cumple",A28)))</formula>
    </cfRule>
    <cfRule type="containsText" dxfId="354" priority="159" operator="containsText" text="No Cumple">
      <formula>NOT(ISERROR(SEARCH("No Cumple",A28)))</formula>
    </cfRule>
    <cfRule type="beginsWith" dxfId="353" priority="160" operator="beginsWith" text="Cumple">
      <formula>LEFT(A28,LEN("Cumple"))="Cumple"</formula>
    </cfRule>
  </conditionalFormatting>
  <conditionalFormatting sqref="C3:C11">
    <cfRule type="containsText" dxfId="352" priority="51" operator="containsText" text="No Aplica">
      <formula>NOT(ISERROR(SEARCH("No Aplica",C3)))</formula>
    </cfRule>
    <cfRule type="containsText" dxfId="351" priority="52" operator="containsText" text="Pendiente">
      <formula>NOT(ISERROR(SEARCH("Pendiente",C3)))</formula>
    </cfRule>
    <cfRule type="containsText" dxfId="350" priority="53" operator="containsText" text="Parcialmente Cumple">
      <formula>NOT(ISERROR(SEARCH("Parcialmente Cumple",C3)))</formula>
    </cfRule>
    <cfRule type="containsText" dxfId="349" priority="54" operator="containsText" text="No Cumple">
      <formula>NOT(ISERROR(SEARCH("No Cumple",C3)))</formula>
    </cfRule>
    <cfRule type="beginsWith" dxfId="348" priority="55" operator="beginsWith" text="Cumple">
      <formula>LEFT(C3,LEN("Cumple"))="Cumple"</formula>
    </cfRule>
  </conditionalFormatting>
  <conditionalFormatting sqref="D15:D19">
    <cfRule type="containsText" dxfId="347" priority="36" operator="containsText" text="No Aplica">
      <formula>NOT(ISERROR(SEARCH("No Aplica",D15)))</formula>
    </cfRule>
    <cfRule type="containsText" dxfId="346" priority="37" operator="containsText" text="Pendiente">
      <formula>NOT(ISERROR(SEARCH("Pendiente",D15)))</formula>
    </cfRule>
    <cfRule type="containsText" dxfId="345" priority="38" operator="containsText" text="Parcialmente Cumple">
      <formula>NOT(ISERROR(SEARCH("Parcialmente Cumple",D15)))</formula>
    </cfRule>
    <cfRule type="containsText" dxfId="344" priority="39" operator="containsText" text="No Cumple">
      <formula>NOT(ISERROR(SEARCH("No Cumple",D15)))</formula>
    </cfRule>
    <cfRule type="beginsWith" dxfId="343" priority="40" operator="beginsWith" text="Cumple">
      <formula>LEFT(D15,LEN("Cumple"))="Cumple"</formula>
    </cfRule>
  </conditionalFormatting>
  <conditionalFormatting sqref="D23:D26">
    <cfRule type="containsText" dxfId="342" priority="16" operator="containsText" text="No Aplica">
      <formula>NOT(ISERROR(SEARCH("No Aplica",D23)))</formula>
    </cfRule>
    <cfRule type="containsText" dxfId="341" priority="17" operator="containsText" text="Pendiente">
      <formula>NOT(ISERROR(SEARCH("Pendiente",D23)))</formula>
    </cfRule>
    <cfRule type="containsText" dxfId="340" priority="18" operator="containsText" text="Parcialmente Cumple">
      <formula>NOT(ISERROR(SEARCH("Parcialmente Cumple",D23)))</formula>
    </cfRule>
    <cfRule type="containsText" dxfId="339" priority="19" operator="containsText" text="No Cumple">
      <formula>NOT(ISERROR(SEARCH("No Cumple",D23)))</formula>
    </cfRule>
    <cfRule type="beginsWith" dxfId="338" priority="20" operator="beginsWith" text="Cumple">
      <formula>LEFT(D23,LEN("Cumple"))="Cumple"</formula>
    </cfRule>
  </conditionalFormatting>
  <conditionalFormatting sqref="D28:D30">
    <cfRule type="containsText" dxfId="337" priority="6" operator="containsText" text="No Aplica">
      <formula>NOT(ISERROR(SEARCH("No Aplica",D28)))</formula>
    </cfRule>
    <cfRule type="containsText" dxfId="336" priority="7" operator="containsText" text="Pendiente">
      <formula>NOT(ISERROR(SEARCH("Pendiente",D28)))</formula>
    </cfRule>
    <cfRule type="containsText" dxfId="335" priority="8" operator="containsText" text="Parcialmente Cumple">
      <formula>NOT(ISERROR(SEARCH("Parcialmente Cumple",D28)))</formula>
    </cfRule>
    <cfRule type="containsText" dxfId="334" priority="9" operator="containsText" text="No Cumple">
      <formula>NOT(ISERROR(SEARCH("No Cumple",D28)))</formula>
    </cfRule>
    <cfRule type="beginsWith" dxfId="333" priority="10" operator="beginsWith" text="Cumple">
      <formula>LEFT(D28,LEN("Cumple"))="Cumple"</formula>
    </cfRule>
  </conditionalFormatting>
  <conditionalFormatting sqref="E14">
    <cfRule type="containsText" dxfId="332" priority="46" operator="containsText" text="No Aplica">
      <formula>NOT(ISERROR(SEARCH("No Aplica",E14)))</formula>
    </cfRule>
    <cfRule type="containsText" dxfId="331" priority="47" operator="containsText" text="Seleccionar">
      <formula>NOT(ISERROR(SEARCH("Seleccionar",E14)))</formula>
    </cfRule>
    <cfRule type="containsText" dxfId="330" priority="48" operator="containsText" text="Parcialmente Cumple">
      <formula>NOT(ISERROR(SEARCH("Parcialmente Cumple",E14)))</formula>
    </cfRule>
    <cfRule type="containsText" dxfId="329" priority="49" operator="containsText" text="No Cumple">
      <formula>NOT(ISERROR(SEARCH("No Cumple",E14)))</formula>
    </cfRule>
    <cfRule type="beginsWith" dxfId="328" priority="50" operator="beginsWith" text="Cumple">
      <formula>LEFT(E14,LEN("Cumple"))="Cumple"</formula>
    </cfRule>
  </conditionalFormatting>
  <conditionalFormatting sqref="E34:E35">
    <cfRule type="containsText" dxfId="327" priority="1" operator="containsText" text="No Aplica">
      <formula>NOT(ISERROR(SEARCH("No Aplica",E34)))</formula>
    </cfRule>
    <cfRule type="containsText" dxfId="326" priority="2" operator="containsText" text="Seleccionar">
      <formula>NOT(ISERROR(SEARCH("Seleccionar",E34)))</formula>
    </cfRule>
    <cfRule type="containsText" dxfId="325" priority="3" operator="containsText" text="Parcialmente Cumple">
      <formula>NOT(ISERROR(SEARCH("Parcialmente Cumple",E34)))</formula>
    </cfRule>
    <cfRule type="containsText" dxfId="324" priority="4" operator="containsText" text="No Cumple">
      <formula>NOT(ISERROR(SEARCH("No Cumple",E34)))</formula>
    </cfRule>
    <cfRule type="beginsWith" dxfId="323" priority="5" operator="beginsWith" text="Cumple">
      <formula>LEFT(E34,LEN("Cumple"))="Cumple"</formula>
    </cfRule>
  </conditionalFormatting>
  <hyperlinks>
    <hyperlink ref="E36" r:id="rId1"/>
    <hyperlink ref="E37" r:id="rId2" display="Consulta regulación UE 2016/796"/>
    <hyperlink ref="E38" r:id="rId3" display="Consulta el sitio web de Railfreightforward"/>
    <hyperlink ref="E39" r:id="rId4" display="Consulta el sitio web de Shift2Rail"/>
    <hyperlink ref="E40" r:id="rId5" display="Consulta más información sobre Transporte Multimodal "/>
    <hyperlink ref="E35" r:id="rId6" display="Consulta más información sobre Lean &amp; Green España"/>
    <hyperlink ref="E16" r:id="rId7" display="Consulta información sobre ISO 9001"/>
    <hyperlink ref="E15" r:id="rId8" display="Consulta más información sobre el código de conducta"/>
    <hyperlink ref="E17" r:id="rId9" display="Consulta información sobre EMAS"/>
    <hyperlink ref="E18" r:id="rId10" display="Consulta información sobre ISO 14001"/>
    <hyperlink ref="E19" r:id="rId11" display="Consulta más información sobre el CSRD"/>
    <hyperlink ref="E20" r:id="rId12" display="Consulta ley 11/2018"/>
    <hyperlink ref="E21" r:id="rId13" display="Consulta más información sobre el marco GRI"/>
    <hyperlink ref="E22" r:id="rId14" display="Consulta información sobre el GHG Protocol"/>
    <hyperlink ref="E23" r:id="rId15" display="Consulta el Documento de Referencia sobre las mejores tecnologías disponibles en términos de eficiencia energética"/>
    <hyperlink ref="E24" r:id="rId16" display="Consulta un ejemplo de una política de protección de datos"/>
    <hyperlink ref="E25" r:id="rId17" display="Consulta un ejemplo de código de conducta/ética de proveedores"/>
    <hyperlink ref="E26" r:id="rId18" display="Consulta el Real Decreto 901/2020"/>
    <hyperlink ref="E27" r:id="rId19" display="Consulta Ley 7/2022"/>
    <hyperlink ref="E28" r:id="rId20" display="Consulta información sobre el Sustainable Packiging Coalition"/>
    <hyperlink ref="E29" r:id="rId21" display="Consulta información sobre la ley de plásticos de un solo uso"/>
    <hyperlink ref="E30" r:id="rId22" display="Consulta información sobre impuestos sobre los envases de plástico no reutilizables"/>
  </hyperlinks>
  <pageMargins left="0.7" right="0.7" top="0.75" bottom="0.75" header="0.3" footer="0.3"/>
  <pageSetup paperSize="9" orientation="portrait" verticalDpi="0" r:id="rId2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tabColor theme="9" tint="0.39997558519241921"/>
  </sheetPr>
  <dimension ref="A1:AN77"/>
  <sheetViews>
    <sheetView showGridLines="0" zoomScale="70" zoomScaleNormal="70" workbookViewId="0">
      <selection activeCell="E1" sqref="E1"/>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310" t="s">
        <v>974</v>
      </c>
      <c r="E1" s="201" t="s">
        <v>1335</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59" t="s">
        <v>365</v>
      </c>
      <c r="E3" s="159" t="s">
        <v>357</v>
      </c>
      <c r="F3" s="159" t="s">
        <v>360</v>
      </c>
      <c r="G3" s="154" t="s">
        <v>358</v>
      </c>
      <c r="H3" s="155" t="s">
        <v>361</v>
      </c>
      <c r="I3" s="135"/>
      <c r="J3" s="153"/>
      <c r="K3" s="153"/>
    </row>
    <row r="4" spans="1:40" ht="150" customHeight="1">
      <c r="B4" s="98" t="s">
        <v>423</v>
      </c>
      <c r="C4" s="266" t="s">
        <v>356</v>
      </c>
      <c r="D4" s="95" t="str">
        <f>HLOOKUP(D3,AUTO!$B$1:$AJ$2,2,FALSE)</f>
        <v xml:space="preserve">El subministrament de matèries primeres és un tema crucial per a la sostenibilitat d'aquells sectors molt intensius en materials. Aquí les empreses haurien d'avaluar oportunitats per a una adquisició de matèries de manera sostenible amb proveïdors confiables i certificats i estratègies de recuperació de material que es pugui recuperar com a matèria primera. Aquest tema pot ser important tant per a empreses que adquireixen matèries primeres com per a empreses que adquireixen prefabricats o productes. Un exemple és la cadena de subministrament d'empreses alimentàries, on és obligatori poder demostrar que el producte utilitzat no prové de zones amb alta deforestació. </v>
      </c>
      <c r="E4" s="95" t="str">
        <f>HLOOKUP(E3,AUTO!$B$1:$AJ$2,2,FALSE)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F4" s="95" t="str">
        <f>HLOOKUP(F3,AUTO!$B$1:$AJ$2,2,FALSE)</f>
        <v xml:space="preserve">La gestió sostenible de l'aigua tracta d'assegurar que el consum i ús d'aquesta aigua per part de l'empresa estiguin alineats amb la capacitat de recuperar-se de l'ecosistema i no generin impactes negatius. Les necessitats de consumir aigua estan lligades al sector i a la ubicació de la planta. És important destacar que les empreses amb operacions en zones amb estrès hídric caldrà que avaluïn com fer una gestió sostenible dels recursos hídrics. Això inclou reduir el consum d'aigua, millorar la captura i reutilització de les aigües grises i millorar el tractament d'aigües residuals, entre d'altres. </v>
      </c>
      <c r="G4" s="115" t="str">
        <f>HLOOKUP(G3,AUTO!$B$1:$AJ$2,2,FALSE)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H4" s="212" t="str">
        <f>HLOOKUP(H3,AUTO!$B$1:$AJ$2,2,FALSE)</f>
        <v>La gestió de residus perillosos i no perillosos és un àmbit en constant evolució normativa. L'adequada gestió de residus i materials perillosos és clau per reduir la contaminació causada per l'empresa o els productes que posa al mercat. Optimitzar el disseny i la producció i treballar paral·lelament a millorar la gestió de residus és clau per transicionar envers una economia circular que redueixi la necessitat d'explotació de nous recursos naturals. Per tant, les empreses que gestionen els seus residus i eviten la seva generació són més sostenibles i estan més alineades amb els principis de l'economia circular.</v>
      </c>
      <c r="I4" s="73"/>
      <c r="J4" s="73"/>
      <c r="K4" s="73"/>
    </row>
    <row r="5" spans="1:40" ht="150" customHeight="1">
      <c r="B5" s="98" t="s">
        <v>456</v>
      </c>
      <c r="C5" s="267"/>
      <c r="D5" s="120" t="s">
        <v>1319</v>
      </c>
      <c r="E5" s="120" t="s">
        <v>975</v>
      </c>
      <c r="F5" s="120" t="s">
        <v>976</v>
      </c>
      <c r="G5" s="131" t="s">
        <v>853</v>
      </c>
      <c r="H5" s="120" t="s">
        <v>1322</v>
      </c>
      <c r="I5" s="136"/>
      <c r="J5" s="136"/>
      <c r="K5" s="179"/>
    </row>
    <row r="6" spans="1:40" ht="50.15" customHeight="1">
      <c r="B6" s="110"/>
      <c r="C6" s="268" t="s">
        <v>369</v>
      </c>
      <c r="D6" s="156" t="s">
        <v>374</v>
      </c>
      <c r="E6" s="156" t="s">
        <v>417</v>
      </c>
      <c r="F6" s="156" t="s">
        <v>375</v>
      </c>
      <c r="G6" s="211" t="s">
        <v>379</v>
      </c>
      <c r="H6" s="109" t="s">
        <v>376</v>
      </c>
    </row>
    <row r="7" spans="1:40" ht="150" customHeight="1">
      <c r="B7" s="98" t="s">
        <v>423</v>
      </c>
      <c r="C7" s="266"/>
      <c r="D7" s="95" t="str">
        <f>HLOOKUP(D6,AUTO!$B$1:$AJ$2,2,FALSE)</f>
        <v>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v>
      </c>
      <c r="E7" s="95" t="str">
        <f>HLOOKUP(E6,AUTO!$B$1:$AJ$2,2,FALSE)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F7" s="95" t="str">
        <f>HLOOKUP(F6,AUTO!$B$1:$AJ$2,2,FALSE)</f>
        <v>Alguns productes poden tenir un impacte sobre el benestar a llarg termini dels clients. Això no es refereix a riscos de seguretat immediats, sinó a efectes que es desenvolupen amb el temps. Exemples d'aquests tipus d'impacte inclouen l'ús d'antibiòtics en la producció de carn, efectes negatius sobre la salut causats per aliments amb alt contingut de sal, sucre i greix i l'ús de substàncies que poden tenir efectes perjudicials després de llargs períodes d'exposició. Algunes mesures per protegir el benestar dels clients inclouen la implementació de mètodes de producció segurs i l'adaptació de receptes de productes per reduir la quantitat d'ingredients perjudicials.</v>
      </c>
      <c r="G7" s="115" t="str">
        <f>HLOOKUP(G6,AUTO!$B$1:$AJ$2,2,FALSE)</f>
        <v>Particularment en la indústria alimentària i de begudes, les oportunitats relacionades amb la nutrició i la salut són fonamentals per proporcionar productes de més qualitat als consumidors. Des d'una perspectiva de sostenibilitat social, és crucial que les empreses aprofitin les oportunitats per oferir productes amb un major valor nutricional i beneficis per a la salut dels consumidors. Aquelles empreses que aprofiten aquestes oportunitats poden destacar en el mercat, la qual cosa al seu torn contribueix a la seva sostenibilitat econòmica.</v>
      </c>
      <c r="H7" s="95" t="str">
        <f>HLOOKUP(H6,AUTO!$B$1:$AJ$2,2,FALSE)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row>
    <row r="8" spans="1:40" ht="150" customHeight="1">
      <c r="B8" s="98" t="s">
        <v>456</v>
      </c>
      <c r="C8" s="267"/>
      <c r="D8" s="133" t="s">
        <v>1320</v>
      </c>
      <c r="E8" s="133" t="s">
        <v>977</v>
      </c>
      <c r="F8" s="120" t="s">
        <v>978</v>
      </c>
      <c r="G8" s="120" t="s">
        <v>979</v>
      </c>
      <c r="H8" s="206" t="s">
        <v>980</v>
      </c>
    </row>
    <row r="9" spans="1:40" ht="50.15" customHeight="1">
      <c r="B9" s="99"/>
      <c r="C9" s="268" t="s">
        <v>383</v>
      </c>
      <c r="D9" s="106" t="s">
        <v>384</v>
      </c>
      <c r="E9" s="160" t="s">
        <v>388</v>
      </c>
      <c r="F9" s="135"/>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La gestió de les cadenes de subministrament és essencial per supervisar les externalitats ambientals i socials generades per les activitats dels proveïdors. Dins de les cadenes de valor, poden sorgir problemes relacionats amb la responsabilitat ambiental, els drets humans, les condicions laborals, l'ètica i la corrupció, entre altres aspectes. La gestió de les cadenes de subministrament pot implicar l'avaluació, selecció, seguiment i compromís amb els proveïdors amb l'objectiu de reduir i mitigar els impactes mediambientals i socials.</v>
      </c>
      <c r="F10" s="73"/>
    </row>
    <row r="11" spans="1:40" ht="150" customHeight="1">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981</v>
      </c>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982</v>
      </c>
      <c r="O16" s="24"/>
      <c r="Q16"/>
    </row>
    <row r="17" spans="1:17" ht="75" customHeight="1">
      <c r="B17" s="253" t="s">
        <v>1345</v>
      </c>
      <c r="C17" s="256" t="s">
        <v>551</v>
      </c>
      <c r="D17" s="253" t="s">
        <v>557</v>
      </c>
      <c r="E17" s="111" t="s">
        <v>860</v>
      </c>
      <c r="O17" s="24"/>
      <c r="Q17"/>
    </row>
    <row r="18" spans="1:17" ht="75" customHeight="1">
      <c r="B18" s="255"/>
      <c r="C18" s="258"/>
      <c r="D18" s="255"/>
      <c r="E18" s="112" t="s">
        <v>639</v>
      </c>
      <c r="O18" s="24"/>
      <c r="Q18"/>
    </row>
    <row r="19" spans="1:17" ht="60" customHeight="1">
      <c r="B19" s="253" t="s">
        <v>560</v>
      </c>
      <c r="C19" s="256" t="s">
        <v>551</v>
      </c>
      <c r="D19" s="253" t="s">
        <v>861</v>
      </c>
      <c r="E19" s="112" t="s">
        <v>983</v>
      </c>
      <c r="P19"/>
      <c r="Q19"/>
    </row>
    <row r="20" spans="1:17" ht="60" customHeight="1">
      <c r="B20" s="254"/>
      <c r="C20" s="257"/>
      <c r="D20" s="254"/>
      <c r="E20" s="112" t="s">
        <v>562</v>
      </c>
      <c r="P20"/>
      <c r="Q20"/>
    </row>
    <row r="21" spans="1:17" ht="60" customHeight="1">
      <c r="B21" s="255"/>
      <c r="C21" s="258"/>
      <c r="D21" s="255"/>
      <c r="E21" s="112" t="s">
        <v>563</v>
      </c>
      <c r="P21"/>
      <c r="Q21"/>
    </row>
    <row r="22" spans="1:17" ht="177.65" customHeight="1">
      <c r="B22" s="117" t="s">
        <v>1370</v>
      </c>
      <c r="C22" s="118" t="s">
        <v>551</v>
      </c>
      <c r="D22" s="103" t="s">
        <v>675</v>
      </c>
      <c r="E22" s="174" t="s">
        <v>984</v>
      </c>
      <c r="O22" s="24"/>
      <c r="Q22"/>
    </row>
    <row r="23" spans="1:17" ht="150" customHeight="1">
      <c r="B23" s="117" t="s">
        <v>564</v>
      </c>
      <c r="C23" s="118" t="s">
        <v>551</v>
      </c>
      <c r="D23" s="103" t="s">
        <v>565</v>
      </c>
      <c r="E23" s="174" t="s">
        <v>566</v>
      </c>
      <c r="P23"/>
      <c r="Q23"/>
    </row>
    <row r="24" spans="1:17" ht="150" customHeight="1">
      <c r="B24" s="117" t="s">
        <v>640</v>
      </c>
      <c r="C24" s="118" t="s">
        <v>551</v>
      </c>
      <c r="D24" s="117" t="s">
        <v>568</v>
      </c>
      <c r="E24" s="112" t="s">
        <v>569</v>
      </c>
      <c r="O24" s="24"/>
      <c r="Q24"/>
    </row>
    <row r="25" spans="1:17" ht="150" customHeight="1">
      <c r="A25" s="78"/>
      <c r="B25" s="117" t="s">
        <v>570</v>
      </c>
      <c r="C25" s="118" t="s">
        <v>551</v>
      </c>
      <c r="D25" s="117" t="s">
        <v>862</v>
      </c>
      <c r="E25" s="174" t="s">
        <v>812</v>
      </c>
      <c r="P25"/>
      <c r="Q25"/>
    </row>
    <row r="26" spans="1:17" ht="150" customHeight="1">
      <c r="A26" s="78"/>
      <c r="B26" s="117" t="s">
        <v>1374</v>
      </c>
      <c r="C26" s="119" t="s">
        <v>1375</v>
      </c>
      <c r="D26" s="117" t="s">
        <v>707</v>
      </c>
      <c r="E26" s="111" t="s">
        <v>574</v>
      </c>
      <c r="G26" s="86"/>
      <c r="H26" s="86"/>
      <c r="I26" s="86"/>
      <c r="J26" s="86"/>
      <c r="K26" s="83"/>
      <c r="L26" s="83"/>
      <c r="M26" s="86"/>
      <c r="N26" s="86"/>
      <c r="O26" s="83"/>
      <c r="P26"/>
      <c r="Q26"/>
    </row>
    <row r="27" spans="1:17" ht="216.5" customHeight="1">
      <c r="A27" s="78"/>
      <c r="B27" s="117" t="s">
        <v>795</v>
      </c>
      <c r="C27" s="119" t="s">
        <v>551</v>
      </c>
      <c r="D27" s="117" t="s">
        <v>1310</v>
      </c>
      <c r="E27" s="223" t="s">
        <v>1307</v>
      </c>
      <c r="G27" s="86"/>
      <c r="H27" s="86"/>
      <c r="I27" s="86"/>
      <c r="J27" s="86"/>
      <c r="K27" s="83"/>
      <c r="L27" s="83"/>
      <c r="M27" s="86"/>
      <c r="N27" s="86"/>
      <c r="O27" s="83"/>
      <c r="P27"/>
      <c r="Q27"/>
    </row>
    <row r="28" spans="1:17" ht="125.5" customHeight="1">
      <c r="B28" s="301" t="s">
        <v>1331</v>
      </c>
      <c r="C28" s="256" t="s">
        <v>551</v>
      </c>
      <c r="D28" s="274" t="s">
        <v>1340</v>
      </c>
      <c r="E28" s="174" t="s">
        <v>575</v>
      </c>
      <c r="G28" s="140"/>
      <c r="H28" s="140"/>
      <c r="P28"/>
      <c r="Q28"/>
    </row>
    <row r="29" spans="1:17" ht="123" customHeight="1">
      <c r="B29" s="302"/>
      <c r="C29" s="272"/>
      <c r="D29" s="288"/>
      <c r="E29" s="227" t="s">
        <v>1329</v>
      </c>
      <c r="G29" s="140"/>
      <c r="H29" s="140"/>
      <c r="P29"/>
      <c r="Q29"/>
    </row>
    <row r="30" spans="1:17" ht="50.15" customHeight="1">
      <c r="B30" s="253" t="s">
        <v>1347</v>
      </c>
      <c r="C30" s="263" t="s">
        <v>551</v>
      </c>
      <c r="D30" s="253" t="s">
        <v>985</v>
      </c>
      <c r="E30" s="112" t="s">
        <v>986</v>
      </c>
      <c r="G30" s="73"/>
      <c r="H30" s="73"/>
      <c r="P30"/>
      <c r="Q30"/>
    </row>
    <row r="31" spans="1:17" ht="50.15" customHeight="1">
      <c r="B31" s="254"/>
      <c r="C31" s="264"/>
      <c r="D31" s="254"/>
      <c r="E31" s="112" t="s">
        <v>987</v>
      </c>
      <c r="G31" s="136"/>
      <c r="H31" s="136"/>
      <c r="P31"/>
      <c r="Q31"/>
    </row>
    <row r="32" spans="1:17" ht="50.15" customHeight="1">
      <c r="B32" s="255"/>
      <c r="C32" s="265"/>
      <c r="D32" s="255"/>
      <c r="E32" s="112" t="s">
        <v>988</v>
      </c>
      <c r="P32"/>
      <c r="Q32"/>
    </row>
    <row r="33" spans="1:17" ht="150" customHeight="1">
      <c r="B33" s="150" t="s">
        <v>1407</v>
      </c>
      <c r="C33" s="151" t="s">
        <v>551</v>
      </c>
      <c r="D33" s="150" t="s">
        <v>1209</v>
      </c>
      <c r="E33" s="112" t="s">
        <v>989</v>
      </c>
      <c r="P33"/>
      <c r="Q33"/>
    </row>
    <row r="34" spans="1:17" ht="92.5" customHeight="1">
      <c r="B34" s="248" t="s">
        <v>1315</v>
      </c>
      <c r="C34" s="256" t="s">
        <v>551</v>
      </c>
      <c r="D34" s="248" t="s">
        <v>1316</v>
      </c>
      <c r="E34" s="174" t="s">
        <v>1297</v>
      </c>
      <c r="P34"/>
      <c r="Q34"/>
    </row>
    <row r="35" spans="1:17" ht="82.5" customHeight="1">
      <c r="B35" s="248"/>
      <c r="C35" s="258"/>
      <c r="D35" s="248"/>
      <c r="E35" s="174" t="s">
        <v>580</v>
      </c>
      <c r="P35"/>
      <c r="Q35"/>
    </row>
    <row r="36" spans="1:17" ht="150" customHeight="1">
      <c r="A36" s="76"/>
      <c r="B36" s="150" t="s">
        <v>1183</v>
      </c>
      <c r="C36" s="161" t="s">
        <v>551</v>
      </c>
      <c r="D36" s="150" t="s">
        <v>1227</v>
      </c>
      <c r="E36" s="221" t="s">
        <v>643</v>
      </c>
      <c r="P36"/>
      <c r="Q36"/>
    </row>
    <row r="37" spans="1:17" ht="150" customHeight="1">
      <c r="B37" s="150" t="s">
        <v>1192</v>
      </c>
      <c r="C37" s="161" t="s">
        <v>551</v>
      </c>
      <c r="D37" s="150" t="s">
        <v>1252</v>
      </c>
      <c r="E37" s="216" t="s">
        <v>769</v>
      </c>
      <c r="P37"/>
      <c r="Q37"/>
    </row>
    <row r="38" spans="1:17" ht="150" customHeight="1">
      <c r="A38" s="76"/>
      <c r="B38" s="150" t="s">
        <v>1193</v>
      </c>
      <c r="C38" s="161" t="s">
        <v>551</v>
      </c>
      <c r="D38" s="150" t="s">
        <v>1253</v>
      </c>
      <c r="E38" s="216" t="s">
        <v>773</v>
      </c>
      <c r="P38"/>
      <c r="Q38"/>
    </row>
    <row r="39" spans="1:17" ht="150" customHeight="1">
      <c r="A39" s="76"/>
      <c r="B39" s="150" t="s">
        <v>585</v>
      </c>
      <c r="C39" s="161" t="s">
        <v>551</v>
      </c>
      <c r="D39" s="150" t="s">
        <v>1228</v>
      </c>
      <c r="E39" s="216" t="s">
        <v>586</v>
      </c>
      <c r="P39"/>
      <c r="Q39"/>
    </row>
    <row r="40" spans="1:17" ht="150" customHeight="1">
      <c r="A40" s="73"/>
      <c r="B40" s="150" t="s">
        <v>644</v>
      </c>
      <c r="C40" s="161" t="s">
        <v>551</v>
      </c>
      <c r="D40" s="150" t="s">
        <v>1234</v>
      </c>
      <c r="E40" s="216" t="s">
        <v>645</v>
      </c>
      <c r="P40"/>
      <c r="Q40"/>
    </row>
    <row r="41" spans="1:17">
      <c r="A41" s="76"/>
      <c r="P41"/>
      <c r="Q41"/>
    </row>
    <row r="42" spans="1:17" ht="13" customHeight="1">
      <c r="A42" s="73"/>
      <c r="P42"/>
      <c r="Q42"/>
    </row>
    <row r="43" spans="1:17" ht="50.15" customHeight="1">
      <c r="A43" s="73"/>
      <c r="B43" s="250" t="s">
        <v>990</v>
      </c>
      <c r="C43" s="251"/>
      <c r="D43" s="251"/>
      <c r="E43" s="252"/>
      <c r="P43"/>
      <c r="Q43"/>
    </row>
    <row r="44" spans="1:17" ht="50.15" customHeight="1">
      <c r="A44" s="77"/>
      <c r="B44" s="197" t="s">
        <v>464</v>
      </c>
      <c r="C44" s="197" t="s">
        <v>548</v>
      </c>
      <c r="D44" s="197" t="s">
        <v>991</v>
      </c>
      <c r="E44" s="197" t="s">
        <v>549</v>
      </c>
      <c r="P44"/>
      <c r="Q44"/>
    </row>
    <row r="45" spans="1:17" ht="50.15" customHeight="1">
      <c r="B45" s="253" t="s">
        <v>1407</v>
      </c>
      <c r="C45" s="263" t="s">
        <v>551</v>
      </c>
      <c r="D45" s="253" t="s">
        <v>831</v>
      </c>
      <c r="E45" s="112" t="s">
        <v>799</v>
      </c>
      <c r="P45"/>
      <c r="Q45"/>
    </row>
    <row r="46" spans="1:17" ht="50.15" customHeight="1">
      <c r="B46" s="254"/>
      <c r="C46" s="264"/>
      <c r="D46" s="254"/>
      <c r="E46" s="112" t="s">
        <v>800</v>
      </c>
      <c r="P46"/>
      <c r="Q46"/>
    </row>
    <row r="47" spans="1:17" ht="50.15" customHeight="1">
      <c r="B47" s="254"/>
      <c r="C47" s="264"/>
      <c r="D47" s="254"/>
      <c r="E47" s="112" t="s">
        <v>864</v>
      </c>
      <c r="P47"/>
      <c r="Q47"/>
    </row>
    <row r="48" spans="1:17" ht="50.15" customHeight="1">
      <c r="B48" s="255"/>
      <c r="C48" s="265"/>
      <c r="D48" s="255"/>
      <c r="E48" s="112" t="s">
        <v>582</v>
      </c>
      <c r="P48"/>
      <c r="Q48"/>
    </row>
    <row r="49" spans="2:17" ht="150" customHeight="1">
      <c r="B49" s="117" t="s">
        <v>1443</v>
      </c>
      <c r="C49" s="118" t="s">
        <v>551</v>
      </c>
      <c r="D49" s="117" t="s">
        <v>992</v>
      </c>
      <c r="E49" s="112" t="s">
        <v>993</v>
      </c>
      <c r="O49" s="24"/>
      <c r="Q49"/>
    </row>
    <row r="50" spans="2:17" ht="50" customHeight="1">
      <c r="B50" s="253" t="s">
        <v>1444</v>
      </c>
      <c r="C50" s="263" t="s">
        <v>1445</v>
      </c>
      <c r="D50" s="253" t="s">
        <v>994</v>
      </c>
      <c r="E50" s="112" t="s">
        <v>995</v>
      </c>
      <c r="O50" s="24"/>
      <c r="Q50"/>
    </row>
    <row r="51" spans="2:17" ht="50" customHeight="1">
      <c r="B51" s="254"/>
      <c r="C51" s="264"/>
      <c r="D51" s="254"/>
      <c r="E51" s="112" t="s">
        <v>996</v>
      </c>
      <c r="O51" s="24"/>
      <c r="Q51"/>
    </row>
    <row r="52" spans="2:17" ht="50" customHeight="1">
      <c r="B52" s="254"/>
      <c r="C52" s="264"/>
      <c r="D52" s="254"/>
      <c r="E52" s="112" t="s">
        <v>997</v>
      </c>
      <c r="O52" s="24"/>
      <c r="Q52"/>
    </row>
    <row r="53" spans="2:17" ht="50" customHeight="1">
      <c r="B53" s="255"/>
      <c r="C53" s="265"/>
      <c r="D53" s="255"/>
      <c r="E53" s="112" t="s">
        <v>998</v>
      </c>
      <c r="O53" s="24"/>
      <c r="Q53"/>
    </row>
    <row r="54" spans="2:17" ht="60" customHeight="1">
      <c r="B54" s="248" t="s">
        <v>1347</v>
      </c>
      <c r="C54" s="294" t="s">
        <v>551</v>
      </c>
      <c r="D54" s="248" t="s">
        <v>999</v>
      </c>
      <c r="E54" s="112" t="s">
        <v>1000</v>
      </c>
      <c r="O54" s="24"/>
      <c r="Q54"/>
    </row>
    <row r="55" spans="2:17" ht="60" customHeight="1">
      <c r="B55" s="248"/>
      <c r="C55" s="294"/>
      <c r="D55" s="248"/>
      <c r="E55" s="112" t="s">
        <v>1001</v>
      </c>
      <c r="O55" s="24"/>
      <c r="Q55"/>
    </row>
    <row r="56" spans="2:17" ht="60" customHeight="1">
      <c r="B56" s="248"/>
      <c r="C56" s="294"/>
      <c r="D56" s="248"/>
      <c r="E56" s="112" t="s">
        <v>839</v>
      </c>
      <c r="O56" s="24"/>
      <c r="Q56"/>
    </row>
    <row r="57" spans="2:17" ht="150" customHeight="1">
      <c r="B57" s="117" t="s">
        <v>1446</v>
      </c>
      <c r="C57" s="118" t="s">
        <v>551</v>
      </c>
      <c r="D57" s="117" t="s">
        <v>1002</v>
      </c>
      <c r="E57" s="112" t="s">
        <v>1003</v>
      </c>
      <c r="O57" s="24"/>
      <c r="Q57"/>
    </row>
    <row r="58" spans="2:17" ht="150" customHeight="1">
      <c r="B58" s="117" t="s">
        <v>1426</v>
      </c>
      <c r="C58" s="118" t="s">
        <v>551</v>
      </c>
      <c r="D58" s="117" t="s">
        <v>1004</v>
      </c>
      <c r="E58" s="112" t="s">
        <v>1005</v>
      </c>
      <c r="O58" s="24"/>
      <c r="Q58"/>
    </row>
    <row r="59" spans="2:17" ht="75" customHeight="1">
      <c r="B59" s="248" t="s">
        <v>1216</v>
      </c>
      <c r="C59" s="294" t="s">
        <v>551</v>
      </c>
      <c r="D59" s="248" t="s">
        <v>1006</v>
      </c>
      <c r="E59" s="112" t="s">
        <v>1007</v>
      </c>
      <c r="O59" s="24"/>
      <c r="Q59"/>
    </row>
    <row r="60" spans="2:17" ht="75" customHeight="1">
      <c r="B60" s="248"/>
      <c r="C60" s="294"/>
      <c r="D60" s="248"/>
      <c r="E60" s="112" t="s">
        <v>1008</v>
      </c>
      <c r="O60" s="24"/>
      <c r="Q60"/>
    </row>
    <row r="61" spans="2:17" ht="150" customHeight="1">
      <c r="B61" s="117" t="s">
        <v>1447</v>
      </c>
      <c r="C61" s="118" t="s">
        <v>551</v>
      </c>
      <c r="D61" s="117" t="s">
        <v>1009</v>
      </c>
      <c r="E61" s="174" t="s">
        <v>996</v>
      </c>
      <c r="F61" s="22"/>
      <c r="O61" s="24"/>
      <c r="Q61"/>
    </row>
    <row r="62" spans="2:17" ht="65.150000000000006" customHeight="1">
      <c r="B62" s="253" t="s">
        <v>1010</v>
      </c>
      <c r="C62" s="256" t="s">
        <v>551</v>
      </c>
      <c r="D62" s="253" t="s">
        <v>1011</v>
      </c>
      <c r="E62" s="112" t="s">
        <v>1012</v>
      </c>
      <c r="O62" s="24"/>
      <c r="Q62"/>
    </row>
    <row r="63" spans="2:17" ht="65.150000000000006" customHeight="1">
      <c r="B63" s="254"/>
      <c r="C63" s="257"/>
      <c r="D63" s="254"/>
      <c r="E63" s="112" t="s">
        <v>1013</v>
      </c>
      <c r="O63" s="24"/>
      <c r="Q63"/>
    </row>
    <row r="64" spans="2:17" ht="65.150000000000006" customHeight="1">
      <c r="B64" s="255"/>
      <c r="C64" s="258"/>
      <c r="D64" s="255"/>
      <c r="E64" s="112" t="s">
        <v>1014</v>
      </c>
      <c r="O64" s="24"/>
      <c r="Q64"/>
    </row>
    <row r="65" spans="2:8" ht="91" customHeight="1">
      <c r="B65" s="117" t="s">
        <v>1448</v>
      </c>
      <c r="C65" s="118" t="s">
        <v>551</v>
      </c>
      <c r="D65" s="117" t="s">
        <v>1015</v>
      </c>
      <c r="E65" s="111" t="s">
        <v>1016</v>
      </c>
    </row>
    <row r="66" spans="2:8" ht="142" customHeight="1">
      <c r="B66" s="150" t="s">
        <v>1449</v>
      </c>
      <c r="C66" s="151" t="s">
        <v>551</v>
      </c>
      <c r="D66" s="150" t="s">
        <v>1017</v>
      </c>
      <c r="E66" s="216" t="s">
        <v>1018</v>
      </c>
    </row>
    <row r="67" spans="2:8" ht="150" customHeight="1">
      <c r="B67" s="150" t="s">
        <v>610</v>
      </c>
      <c r="C67" s="161" t="s">
        <v>551</v>
      </c>
      <c r="D67" s="150" t="s">
        <v>611</v>
      </c>
      <c r="E67" s="216" t="s">
        <v>849</v>
      </c>
    </row>
    <row r="68" spans="2:8" ht="150" customHeight="1">
      <c r="B68" s="117" t="s">
        <v>1019</v>
      </c>
      <c r="C68" s="118" t="s">
        <v>551</v>
      </c>
      <c r="D68" s="117" t="s">
        <v>1265</v>
      </c>
      <c r="E68" s="174" t="s">
        <v>1020</v>
      </c>
    </row>
    <row r="69" spans="2:8" ht="150" customHeight="1">
      <c r="B69" s="117" t="s">
        <v>1187</v>
      </c>
      <c r="C69" s="119" t="s">
        <v>551</v>
      </c>
      <c r="D69" s="117" t="s">
        <v>1222</v>
      </c>
      <c r="E69" s="227" t="s">
        <v>1021</v>
      </c>
      <c r="H69" s="21"/>
    </row>
    <row r="70" spans="2:8" ht="150" customHeight="1">
      <c r="B70" s="117" t="s">
        <v>1187</v>
      </c>
      <c r="C70" s="119" t="s">
        <v>551</v>
      </c>
      <c r="D70" s="117" t="s">
        <v>1266</v>
      </c>
      <c r="E70" s="227" t="s">
        <v>1022</v>
      </c>
    </row>
    <row r="71" spans="2:8" ht="150" customHeight="1">
      <c r="B71" s="117" t="s">
        <v>1187</v>
      </c>
      <c r="C71" s="119" t="s">
        <v>551</v>
      </c>
      <c r="D71" s="117" t="s">
        <v>1267</v>
      </c>
      <c r="E71" s="227" t="s">
        <v>1023</v>
      </c>
    </row>
    <row r="72" spans="2:8" ht="150" customHeight="1">
      <c r="B72" s="117" t="s">
        <v>1188</v>
      </c>
      <c r="C72" s="119" t="s">
        <v>551</v>
      </c>
      <c r="D72" s="117" t="s">
        <v>1268</v>
      </c>
      <c r="E72" s="227" t="s">
        <v>1024</v>
      </c>
    </row>
    <row r="73" spans="2:8" ht="75" customHeight="1">
      <c r="B73" s="253" t="s">
        <v>1188</v>
      </c>
      <c r="C73" s="263" t="s">
        <v>551</v>
      </c>
      <c r="D73" s="253" t="s">
        <v>1269</v>
      </c>
      <c r="E73" s="227" t="s">
        <v>1270</v>
      </c>
    </row>
    <row r="74" spans="2:8" ht="75" customHeight="1">
      <c r="B74" s="255"/>
      <c r="C74" s="265"/>
      <c r="D74" s="255"/>
      <c r="E74" s="227" t="s">
        <v>1223</v>
      </c>
    </row>
    <row r="75" spans="2:8" ht="150" customHeight="1">
      <c r="B75" s="117" t="s">
        <v>1189</v>
      </c>
      <c r="C75" s="119" t="s">
        <v>551</v>
      </c>
      <c r="D75" s="117" t="s">
        <v>1271</v>
      </c>
      <c r="E75" s="227" t="s">
        <v>1025</v>
      </c>
    </row>
    <row r="76" spans="2:8" ht="150" customHeight="1">
      <c r="B76" s="117" t="s">
        <v>1186</v>
      </c>
      <c r="C76" s="119" t="s">
        <v>551</v>
      </c>
      <c r="D76" s="117" t="s">
        <v>1272</v>
      </c>
      <c r="E76" s="174" t="s">
        <v>1026</v>
      </c>
    </row>
    <row r="77" spans="2:8" ht="150" customHeight="1">
      <c r="B77" s="117" t="s">
        <v>1190</v>
      </c>
      <c r="C77" s="119" t="s">
        <v>551</v>
      </c>
      <c r="D77" s="117" t="s">
        <v>1273</v>
      </c>
      <c r="E77" s="227" t="s">
        <v>1027</v>
      </c>
    </row>
  </sheetData>
  <mergeCells count="38">
    <mergeCell ref="B73:B74"/>
    <mergeCell ref="C73:C74"/>
    <mergeCell ref="D73:D74"/>
    <mergeCell ref="B50:B53"/>
    <mergeCell ref="C50:C53"/>
    <mergeCell ref="D50:D53"/>
    <mergeCell ref="D62:D64"/>
    <mergeCell ref="C62:C64"/>
    <mergeCell ref="B62:B64"/>
    <mergeCell ref="B59:B60"/>
    <mergeCell ref="C59:C60"/>
    <mergeCell ref="D59:D60"/>
    <mergeCell ref="B54:B56"/>
    <mergeCell ref="C54:C56"/>
    <mergeCell ref="D54:D56"/>
    <mergeCell ref="C4:C5"/>
    <mergeCell ref="C6:C8"/>
    <mergeCell ref="C9:C11"/>
    <mergeCell ref="B17:B18"/>
    <mergeCell ref="D17:D18"/>
    <mergeCell ref="C17:C18"/>
    <mergeCell ref="B13:E13"/>
    <mergeCell ref="B19:B21"/>
    <mergeCell ref="C19:C21"/>
    <mergeCell ref="D19:D21"/>
    <mergeCell ref="B45:B48"/>
    <mergeCell ref="C45:C48"/>
    <mergeCell ref="D45:D48"/>
    <mergeCell ref="B28:B29"/>
    <mergeCell ref="C28:C29"/>
    <mergeCell ref="D28:D29"/>
    <mergeCell ref="B43:E43"/>
    <mergeCell ref="B30:B32"/>
    <mergeCell ref="C30:C32"/>
    <mergeCell ref="D30:D32"/>
    <mergeCell ref="B34:B35"/>
    <mergeCell ref="D34:D35"/>
    <mergeCell ref="C34:C35"/>
  </mergeCells>
  <conditionalFormatting sqref="A36 A38:A43">
    <cfRule type="containsText" dxfId="322" priority="16" operator="containsText" text="No Aplica">
      <formula>NOT(ISERROR(SEARCH("No Aplica",A36)))</formula>
    </cfRule>
    <cfRule type="containsText" dxfId="321" priority="17" operator="containsText" text="Seleccionar">
      <formula>NOT(ISERROR(SEARCH("Seleccionar",A36)))</formula>
    </cfRule>
    <cfRule type="containsText" dxfId="320" priority="18" operator="containsText" text="Parcialmente Cumple">
      <formula>NOT(ISERROR(SEARCH("Parcialmente Cumple",A36)))</formula>
    </cfRule>
    <cfRule type="containsText" dxfId="319" priority="19" operator="containsText" text="No Cumple">
      <formula>NOT(ISERROR(SEARCH("No Cumple",A36)))</formula>
    </cfRule>
    <cfRule type="beginsWith" dxfId="318" priority="20" operator="beginsWith" text="Cumple">
      <formula>LEFT(A36,LEN("Cumple"))="Cumple"</formula>
    </cfRule>
  </conditionalFormatting>
  <conditionalFormatting sqref="C3:C11">
    <cfRule type="containsText" dxfId="317" priority="86" operator="containsText" text="No Aplica">
      <formula>NOT(ISERROR(SEARCH("No Aplica",C3)))</formula>
    </cfRule>
    <cfRule type="containsText" dxfId="316" priority="87" operator="containsText" text="Pendiente">
      <formula>NOT(ISERROR(SEARCH("Pendiente",C3)))</formula>
    </cfRule>
    <cfRule type="containsText" dxfId="315" priority="88" operator="containsText" text="Parcialmente Cumple">
      <formula>NOT(ISERROR(SEARCH("Parcialmente Cumple",C3)))</formula>
    </cfRule>
    <cfRule type="containsText" dxfId="314" priority="89" operator="containsText" text="No Cumple">
      <formula>NOT(ISERROR(SEARCH("No Cumple",C3)))</formula>
    </cfRule>
    <cfRule type="beginsWith" dxfId="313" priority="90" operator="beginsWith" text="Cumple">
      <formula>LEFT(C3,LEN("Cumple"))="Cumple"</formula>
    </cfRule>
  </conditionalFormatting>
  <conditionalFormatting sqref="D14:D19">
    <cfRule type="containsText" dxfId="312" priority="31" operator="containsText" text="No Aplica">
      <formula>NOT(ISERROR(SEARCH("No Aplica",D14)))</formula>
    </cfRule>
    <cfRule type="containsText" dxfId="311" priority="32" operator="containsText" text="Pendiente">
      <formula>NOT(ISERROR(SEARCH("Pendiente",D14)))</formula>
    </cfRule>
    <cfRule type="containsText" dxfId="310" priority="33" operator="containsText" text="Parcialmente Cumple">
      <formula>NOT(ISERROR(SEARCH("Parcialmente Cumple",D14)))</formula>
    </cfRule>
    <cfRule type="containsText" dxfId="309" priority="34" operator="containsText" text="No Cumple">
      <formula>NOT(ISERROR(SEARCH("No Cumple",D14)))</formula>
    </cfRule>
    <cfRule type="beginsWith" dxfId="308" priority="35" operator="beginsWith" text="Cumple">
      <formula>LEFT(D14,LEN("Cumple"))="Cumple"</formula>
    </cfRule>
  </conditionalFormatting>
  <conditionalFormatting sqref="D23:D27">
    <cfRule type="containsText" dxfId="307" priority="51" operator="containsText" text="No Aplica">
      <formula>NOT(ISERROR(SEARCH("No Aplica",D23)))</formula>
    </cfRule>
    <cfRule type="containsText" dxfId="306" priority="52" operator="containsText" text="Pendiente">
      <formula>NOT(ISERROR(SEARCH("Pendiente",D23)))</formula>
    </cfRule>
    <cfRule type="containsText" dxfId="305" priority="53" operator="containsText" text="Parcialmente Cumple">
      <formula>NOT(ISERROR(SEARCH("Parcialmente Cumple",D23)))</formula>
    </cfRule>
    <cfRule type="containsText" dxfId="304" priority="54" operator="containsText" text="No Cumple">
      <formula>NOT(ISERROR(SEARCH("No Cumple",D23)))</formula>
    </cfRule>
    <cfRule type="beginsWith" dxfId="303" priority="55" operator="beginsWith" text="Cumple">
      <formula>LEFT(D23,LEN("Cumple"))="Cumple"</formula>
    </cfRule>
  </conditionalFormatting>
  <conditionalFormatting sqref="D33:D35">
    <cfRule type="containsText" dxfId="302" priority="41" operator="containsText" text="No Aplica">
      <formula>NOT(ISERROR(SEARCH("No Aplica",D33)))</formula>
    </cfRule>
    <cfRule type="containsText" dxfId="301" priority="42" operator="containsText" text="Pendiente">
      <formula>NOT(ISERROR(SEARCH("Pendiente",D33)))</formula>
    </cfRule>
    <cfRule type="containsText" dxfId="300" priority="43" operator="containsText" text="Parcialmente Cumple">
      <formula>NOT(ISERROR(SEARCH("Parcialmente Cumple",D33)))</formula>
    </cfRule>
    <cfRule type="containsText" dxfId="299" priority="44" operator="containsText" text="No Cumple">
      <formula>NOT(ISERROR(SEARCH("No Cumple",D33)))</formula>
    </cfRule>
    <cfRule type="beginsWith" dxfId="298" priority="45" operator="beginsWith" text="Cumple">
      <formula>LEFT(D33,LEN("Cumple"))="Cumple"</formula>
    </cfRule>
  </conditionalFormatting>
  <conditionalFormatting sqref="D44">
    <cfRule type="containsText" dxfId="297" priority="22" operator="containsText" text="Pendiente">
      <formula>NOT(ISERROR(SEARCH("Pendiente",D44)))</formula>
    </cfRule>
    <cfRule type="containsText" dxfId="296" priority="23" operator="containsText" text="Parcialmente Cumple">
      <formula>NOT(ISERROR(SEARCH("Parcialmente Cumple",D44)))</formula>
    </cfRule>
    <cfRule type="containsText" dxfId="295" priority="24" operator="containsText" text="No Cumple">
      <formula>NOT(ISERROR(SEARCH("No Cumple",D44)))</formula>
    </cfRule>
    <cfRule type="beginsWith" dxfId="294" priority="25" operator="beginsWith" text="Cumple">
      <formula>LEFT(D44,LEN("Cumple"))="Cumple"</formula>
    </cfRule>
  </conditionalFormatting>
  <conditionalFormatting sqref="D44:E44">
    <cfRule type="containsText" dxfId="293" priority="21" operator="containsText" text="No Aplica">
      <formula>NOT(ISERROR(SEARCH("No Aplica",D44)))</formula>
    </cfRule>
  </conditionalFormatting>
  <conditionalFormatting sqref="E14">
    <cfRule type="containsText" dxfId="292" priority="36" operator="containsText" text="No Aplica">
      <formula>NOT(ISERROR(SEARCH("No Aplica",E14)))</formula>
    </cfRule>
    <cfRule type="containsText" dxfId="291" priority="37" operator="containsText" text="Seleccionar">
      <formula>NOT(ISERROR(SEARCH("Seleccionar",E14)))</formula>
    </cfRule>
    <cfRule type="containsText" dxfId="290" priority="38" operator="containsText" text="Parcialmente Cumple">
      <formula>NOT(ISERROR(SEARCH("Parcialmente Cumple",E14)))</formula>
    </cfRule>
    <cfRule type="containsText" dxfId="289" priority="39" operator="containsText" text="No Cumple">
      <formula>NOT(ISERROR(SEARCH("No Cumple",E14)))</formula>
    </cfRule>
    <cfRule type="beginsWith" dxfId="288" priority="40" operator="beginsWith" text="Cumple">
      <formula>LEFT(E14,LEN("Cumple"))="Cumple"</formula>
    </cfRule>
  </conditionalFormatting>
  <conditionalFormatting sqref="E44">
    <cfRule type="containsText" dxfId="287" priority="27" operator="containsText" text="Seleccionar">
      <formula>NOT(ISERROR(SEARCH("Seleccionar",E44)))</formula>
    </cfRule>
    <cfRule type="containsText" dxfId="286" priority="28" operator="containsText" text="Parcialmente Cumple">
      <formula>NOT(ISERROR(SEARCH("Parcialmente Cumple",E44)))</formula>
    </cfRule>
    <cfRule type="containsText" dxfId="285" priority="29" operator="containsText" text="No Cumple">
      <formula>NOT(ISERROR(SEARCH("No Cumple",E44)))</formula>
    </cfRule>
    <cfRule type="beginsWith" dxfId="284" priority="30" operator="beginsWith" text="Cumple">
      <formula>LEFT(E44,LEN("Cumple"))="Cumple"</formula>
    </cfRule>
  </conditionalFormatting>
  <conditionalFormatting sqref="E67">
    <cfRule type="containsText" dxfId="283" priority="6" operator="containsText" text="No Aplica">
      <formula>NOT(ISERROR(SEARCH("No Aplica",E67)))</formula>
    </cfRule>
    <cfRule type="containsText" dxfId="282" priority="7" operator="containsText" text="Seleccionar">
      <formula>NOT(ISERROR(SEARCH("Seleccionar",E67)))</formula>
    </cfRule>
    <cfRule type="containsText" dxfId="281" priority="8" operator="containsText" text="Parcialmente Cumple">
      <formula>NOT(ISERROR(SEARCH("Parcialmente Cumple",E67)))</formula>
    </cfRule>
    <cfRule type="containsText" dxfId="280" priority="9" operator="containsText" text="No Cumple">
      <formula>NOT(ISERROR(SEARCH("No Cumple",E67)))</formula>
    </cfRule>
    <cfRule type="beginsWith" dxfId="279" priority="10" operator="beginsWith" text="Cumple">
      <formula>LEFT(E67,LEN("Cumple"))="Cumple"</formula>
    </cfRule>
  </conditionalFormatting>
  <hyperlinks>
    <hyperlink ref="E49" r:id="rId1" display="Consulta el sitio de Proveedores en Catalunya"/>
    <hyperlink ref="E50" r:id="rId2" display="Consulta más información sobre Emisiones de ingredientes "/>
    <hyperlink ref="E51" r:id="rId3" display="https://mediambient.gencat.cat/ca/05_ambits_dactuacio/empresa_i_produccio_sostenible/ecoproductes_i_ecoserveis/etiquetatge_ecologic_i_declaracions_ambientals_de_producte/distintiu_de_garantia_de_qualitat_ambiental/categories_i_sol_licituds/serveis/establiments-de-restauracio/"/>
    <hyperlink ref="E54" r:id="rId4" display="Consulta la guía para reducir los plásticos"/>
    <hyperlink ref="E57" r:id="rId5" display="Consulta información sobre la gestión sostenible de agua en hostelería"/>
    <hyperlink ref="E58" r:id="rId6" display="Consulta el Acuerdo Laboral Estatal para Hostelería VI"/>
    <hyperlink ref="E55" r:id="rId7" display="Consulta de la Ley de plásticos de un solo uso"/>
    <hyperlink ref="E56" r:id="rId8" display="Consulta los impuestos sobre los envases de plástico no reutilizables"/>
    <hyperlink ref="E59" r:id="rId9" display="Consulta más información sobre los Beneficios del compostaje"/>
    <hyperlink ref="E60" r:id="rId10" display="Consulta más información sobre Residuos Comerciales"/>
    <hyperlink ref="E62" r:id="rId11" display="Consulta los requisitos de la Ecoetiqueta UE - Alojamientos turísticos"/>
    <hyperlink ref="E16" r:id="rId12" display="Consulta información sobre ISO 9001"/>
    <hyperlink ref="E18" r:id="rId13" display="Consulta información sobre ISO 14001"/>
    <hyperlink ref="E19" r:id="rId14" display="Consulta más información sobre el CSRD"/>
    <hyperlink ref="E20" r:id="rId15" display="Consulta ley 11/2018"/>
    <hyperlink ref="E21" r:id="rId16" display="Consulta más información sobre el marco GRI"/>
    <hyperlink ref="E22" r:id="rId17" display="Consulta información sobre el GHG Protocol"/>
    <hyperlink ref="E23" r:id="rId18" display="Consulta el Documento de Referencia sobre las mejores tecnologías disponibles en términos de eficiencia energética"/>
    <hyperlink ref="E26" r:id="rId19" display="Consulta el Real Decreto 901/2020"/>
    <hyperlink ref="E28" r:id="rId20" display="Consulta Ley 7/2022"/>
    <hyperlink ref="E34" r:id="rId21" display="Consulta ISO 20400:2017 sobre adquisición sostenible"/>
    <hyperlink ref="E32" r:id="rId22" display="Consulta información sobre impuestos sobre los envases de plástico no reutilizables"/>
    <hyperlink ref="E31" r:id="rId23" display="Consulta información sobre la ley de plásticos de un solo uso"/>
    <hyperlink ref="E30" r:id="rId24" display="Consulta información sobre el Sustainable Packiging Coalition"/>
    <hyperlink ref="E33" r:id="rId25" display="Consulta información sobre la iniciativa Lean and Green"/>
    <hyperlink ref="E17" r:id="rId26" display="Consulta informació sobre EMAS"/>
    <hyperlink ref="E35" r:id="rId27" display="Consulta información sobre las ecoetiquetas de la UE"/>
    <hyperlink ref="E24" r:id="rId28" display="https://act.gencat.cat/wp-content/uploads/2019/05/CAT-ACT-POL%C3%8DTICA-DE-PRIVACITAT.pdf"/>
    <hyperlink ref="E61" r:id="rId29" display="https://mediambient.gencat.cat/ca/05_ambits_dactuacio/empresa_i_produccio_sostenible/ecoproductes_i_ecoserveis/etiquetatge_ecologic_i_declaracions_ambientals_de_producte/distintiu_de_garantia_de_qualitat_ambiental/categories_i_sol_licituds/serveis/establiments-de-restauracio/"/>
    <hyperlink ref="E25" r:id="rId30" display="https://www.pactomundial.org/wp-content/uploads/2021/10/Codigo_conducta_proveedores.pdf"/>
    <hyperlink ref="E15" r:id="rId31" display="Consulta més informació sobre el codi de conducta"/>
    <hyperlink ref="E65" r:id="rId32" display="Consulta més informació per al sector hostaleria. "/>
    <hyperlink ref="E66" r:id="rId33" display="https://canalsalut.gencat.cat/ca/detalls/article/Legionellosi-00002"/>
    <hyperlink ref="E53" r:id="rId34"/>
    <hyperlink ref="E63" r:id="rId35" display="Cosnulta informació sobre el Distintiu de Garantia de Qualitat ambiental per Allotjaments turístics"/>
    <hyperlink ref="E64" r:id="rId36" display="Consulta informació sobre el Distintiu de Garantia de Qualitat ambiental específic per hosteleria amb servei de restauració o establiments que ofereixen menjar."/>
    <hyperlink ref="E52" r:id="rId37" display="Consulta la Guia per a la integració de la prevenció de les pèrdues i malbaratament alimentaris als sistemes de gestió ambiental"/>
    <hyperlink ref="E36" r:id="rId38" display="https://treball.gencat.cat/ca/ambits/seguretat_i_salut_laboral/ci_/pla-govern/"/>
    <hyperlink ref="E37" r:id="rId39" display="https://dogc.gencat.cat/ca/document-del-dogc/?documentId=966011"/>
    <hyperlink ref="E38" r:id="rId40" display="https://apdcat.gencat.cat/ca/drets_i_obligacions/rgpd"/>
    <hyperlink ref="E39" r:id="rId41" display="https://govern.cat/gov/pla-govern?eix=0&amp;ambit=1"/>
    <hyperlink ref="E40" r:id="rId42" display="https://fonseuropeus.gencat.cat/ca/ris3cat/2030/index.html"/>
    <hyperlink ref="E69" r:id="rId43" display="https://treball.gencat.cat/ca/ambits/seguretat_i_salut_laboral/riscos_i_condicions_treball/mesures_per_activitat/sector_horeca/"/>
    <hyperlink ref="E70" r:id="rId44" display="https://treball.gencat.cat/ca/ambits/seguretat_i_salut_laboral/riscos_i_condicions_treball/mesures_per_activitat/sector_horeca/"/>
    <hyperlink ref="E73" r:id="rId45"/>
    <hyperlink ref="E76" r:id="rId46" display="https://treball.gencat.cat/web/.content/09_-_seguretat_i_salut_laboral/publicacions/imatges/INFORME-DE-LESTUDI-DE-LES-CONDICIONS-DE-TREBALL-DEL-COLLECTIU-DE-CAMBRERS-I-CAMBRERES-DE-PIS.pdf"/>
    <hyperlink ref="E77" r:id="rId47" display="https://act.gencat.cat/regio-mundial-de-la-gastronomia-2025/"/>
    <hyperlink ref="E75" r:id="rId48"/>
    <hyperlink ref="E45" r:id="rId49" display="Consulta más información sobre Energías Renovables"/>
    <hyperlink ref="E46" r:id="rId50" display="Consulta más información sobre el Potencial de Calentamiento Global"/>
    <hyperlink ref="E47" r:id="rId51" display="Consulta más información de Gases Refrigerantes en España"/>
    <hyperlink ref="E48" r:id="rId52" display="https://canviclimatic.gencat.cat/ca/oficina/index.html"/>
    <hyperlink ref="E68" r:id="rId53" display="https://mediambient.gencat.cat/web/.content/home/ambits_dactuacio/empresa_i_produccio_sostenible/ecoproductes_i_ecoserveis/esdeveniments-sostenibles/GENCAT-ESDEVENIMENTS_V.9-9-acces.pdf"/>
    <hyperlink ref="E67" r:id="rId54"/>
    <hyperlink ref="E72" r:id="rId55" display="https://consum.gencat.cat/ca/empreses/requisits-obligatoris/descarrega-de-cartells-i-documents/"/>
    <hyperlink ref="E71" r:id="rId56" display="https://treball.gencat.cat/ca/ambits/seguretat_i_salut_laboral/riscos_i_condicions_treball/mesures_per_activitat/sector_horeca/"/>
    <hyperlink ref="E74" r:id="rId57"/>
    <hyperlink ref="E27" r:id="rId58"/>
    <hyperlink ref="E29" r:id="rId59"/>
  </hyperlinks>
  <pageMargins left="0.7" right="0.7" top="0.75" bottom="0.75" header="0.3" footer="0.3"/>
  <pageSetup paperSize="9" orientation="portrait" r:id="rId6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tabColor theme="9" tint="0.39997558519241921"/>
  </sheetPr>
  <dimension ref="A1:AN50"/>
  <sheetViews>
    <sheetView showGridLines="0" zoomScale="70" zoomScaleNormal="70" workbookViewId="0">
      <selection activeCell="D4" sqref="D4"/>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310" t="s">
        <v>1028</v>
      </c>
      <c r="E1" s="239" t="s">
        <v>1029</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D2" s="21" t="s">
        <v>1028</v>
      </c>
      <c r="E2" s="80"/>
      <c r="F2" s="85"/>
      <c r="G2" s="86"/>
      <c r="H2" s="86"/>
      <c r="I2" s="86"/>
      <c r="J2" s="86"/>
      <c r="K2" s="86"/>
      <c r="L2" s="83"/>
    </row>
    <row r="3" spans="1:40" ht="50.15" customHeight="1">
      <c r="A3" s="80"/>
      <c r="B3" s="79"/>
      <c r="C3" s="89"/>
      <c r="D3" s="106" t="s">
        <v>358</v>
      </c>
      <c r="E3" s="108" t="s">
        <v>357</v>
      </c>
      <c r="F3" s="109" t="s">
        <v>415</v>
      </c>
      <c r="G3" s="134"/>
      <c r="I3" s="135"/>
      <c r="J3" s="153"/>
      <c r="K3" s="153"/>
    </row>
    <row r="4" spans="1:40" ht="150" customHeight="1">
      <c r="B4" s="98" t="s">
        <v>423</v>
      </c>
      <c r="C4" s="266" t="s">
        <v>356</v>
      </c>
      <c r="D4" s="95" t="str">
        <f>HLOOKUP(D3,AUTO!$B$1:$AJ$2,2,FALSE)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E4" s="95" t="str">
        <f>HLOOKUP(E3,AUTO!$B$1:$AJ$2,2,FALSE)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F4" s="95" t="str">
        <f>HLOOKUP(F3,AUTO!$B$1:$AJ$2,2,FALSE)</f>
        <v xml:space="preserve">Les oportunitats de tecnologies/aplicacions sostenibles són rellevants en aquells sectors on hi ha tecnologies descarbonitzades que poden ajudar l'empresa a assolir els seus objectius de reducció d'emissons. Per exemple, la instal·lació de renovables en el sector d'energia o les aplicacions de tecnologies verdes a la construcció de nous edificis per al sector de l'edificació són oportunitats importants per diferenciar-se de la competència en termes de sostenibilitat. La sostenibilitat planteja moltes oportunitats que asseguren una reducció de les despeses de l'empresa a llarg termini.
</v>
      </c>
      <c r="G4" s="73"/>
      <c r="I4" s="73"/>
      <c r="J4" s="73"/>
      <c r="K4" s="73"/>
    </row>
    <row r="5" spans="1:40" ht="150" customHeight="1">
      <c r="B5" s="98" t="s">
        <v>456</v>
      </c>
      <c r="C5" s="267"/>
      <c r="D5" s="120" t="s">
        <v>1030</v>
      </c>
      <c r="E5" s="120" t="s">
        <v>1031</v>
      </c>
      <c r="F5" s="120" t="s">
        <v>1198</v>
      </c>
      <c r="G5" s="136"/>
      <c r="I5" s="136"/>
      <c r="J5" s="136"/>
    </row>
    <row r="6" spans="1:40" ht="50.15" customHeight="1">
      <c r="B6" s="110"/>
      <c r="C6" s="268" t="s">
        <v>369</v>
      </c>
      <c r="D6" s="156" t="s">
        <v>372</v>
      </c>
      <c r="E6" s="164" t="s">
        <v>373</v>
      </c>
      <c r="F6" s="164" t="s">
        <v>371</v>
      </c>
      <c r="G6" s="164" t="s">
        <v>419</v>
      </c>
      <c r="H6" s="108" t="s">
        <v>376</v>
      </c>
      <c r="I6" s="147" t="s">
        <v>417</v>
      </c>
      <c r="J6" s="134"/>
      <c r="K6" s="165"/>
    </row>
    <row r="7" spans="1:40" ht="150" customHeight="1">
      <c r="B7" s="98" t="s">
        <v>423</v>
      </c>
      <c r="C7" s="266"/>
      <c r="D7" s="115" t="str">
        <f>HLOOKUP(D6,AUTO!$B$1:$AJ$2,2,FALSE)</f>
        <v>La ciberseguretat tracta sobre la seguretat dels sistemes informàtics de les empreses. Aquests sistemes poden contenir informació crucial per a les operacions de l'empresa i/o dels seus clients, per la qual cosa és important comptar amb un bon nivell de protecció. Les empreses poden millorar la seva seguretat si assignen un responsable de ciberseguretat al departament d'IT. Addicionalment, podrien dur a terme proves de seguretat periòdiques i establir protocols per contenir qualsevol risc digital, entre d'altres.</v>
      </c>
      <c r="E7" s="95" t="str">
        <f>HLOOKUP(E6,AUTO!$B$1:$AJ$2,2,FALSE)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F7" s="95" t="str">
        <f>HLOOKUP(F6,AUTO!$B$1:$AJ$2,2,FALSE)</f>
        <v>El desenvolupament del capital humà pot ser un factor important per a empreses en sectors que requereixen coneixements o habilitats específiques. Les empreses que no inverteixen en el desenvolupament dels seus empleats poden perdre competitivitat en el mercat laboral, la qual cosa pot afectar la seva capacitat d'atreure i mantenir personal capacitat. Per assegurar la sostenibilitat social i econòmica en el futur, l'empresa pot oferir oportunitats de creixement al seu personal. En la mateixa línia, per mantenir una posició competitiva al mercat, les empreses han d'invertir en la formació i educació dels seus empleats.</v>
      </c>
      <c r="G7" s="95" t="str">
        <f>HLOOKUP(G6,AUTO!$B$1:$AJ$2,2,FALSE)</f>
        <v>El compromís dels empleats i la promoció de la diversitat i inclusió a l'empresa són temes socials de gran rellevància. Aquests aspectes asseguren que la força laboral sigui diversa i que s'ofereixin oportunitats sense discriminació, la qual cosa permet la inclusió de membres de les comunitats locals i els consumidors dels productes de l'empresa. Per fomentar el compromís, la diversitat i la inclusió en l'empresa, és fonamental establir polítiques antidiscriminatòries en el procés de reclutament i promoure una cultura corporativa inclusiva.</v>
      </c>
      <c r="H7" s="95" t="str">
        <f>HLOOKUP(H6,AUTO!$B$1:$AJ$2,2,FALSE)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c r="I7" s="95" t="str">
        <f>HLOOKUP(I6,AUTO!$B$1:$AJ$2,2,FALSE)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J7" s="73"/>
      <c r="K7" s="166"/>
    </row>
    <row r="8" spans="1:40" ht="150" customHeight="1">
      <c r="B8" s="98" t="s">
        <v>456</v>
      </c>
      <c r="C8" s="267"/>
      <c r="D8" s="131" t="s">
        <v>1032</v>
      </c>
      <c r="E8" s="120" t="s">
        <v>1033</v>
      </c>
      <c r="F8" s="120" t="s">
        <v>1195</v>
      </c>
      <c r="G8" s="120" t="s">
        <v>1034</v>
      </c>
      <c r="H8" s="120" t="s">
        <v>1035</v>
      </c>
      <c r="I8" s="192" t="s">
        <v>1194</v>
      </c>
      <c r="J8" s="136"/>
      <c r="K8" s="167"/>
    </row>
    <row r="9" spans="1:40" ht="50.15" customHeight="1">
      <c r="B9" s="99"/>
      <c r="C9" s="268" t="s">
        <v>383</v>
      </c>
      <c r="D9" s="168" t="s">
        <v>384</v>
      </c>
      <c r="E9" s="169" t="s">
        <v>385</v>
      </c>
      <c r="F9" s="134"/>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La competència responsable és crucial per combatre els monopolis i el lobbisme en les indústries. El seu objectiu principal és prevenir preus excessius, baixa qualitat en productes i serveis i d'altres irregularitats en el mercat. És essencial que qualsevol col·laboració entre empreses es realitzi de manera responsable i amb el propòsit de millorar els productes i serveis oferts als clients.</v>
      </c>
      <c r="F10" s="73"/>
    </row>
    <row r="11" spans="1:40" ht="150" customHeight="1">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1036</v>
      </c>
      <c r="F11" s="136"/>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556</v>
      </c>
      <c r="O16" s="24"/>
      <c r="Q16"/>
    </row>
    <row r="17" spans="1:17" ht="75" customHeight="1">
      <c r="B17" s="253" t="s">
        <v>1345</v>
      </c>
      <c r="C17" s="256" t="s">
        <v>551</v>
      </c>
      <c r="D17" s="253" t="s">
        <v>557</v>
      </c>
      <c r="E17" s="111" t="s">
        <v>860</v>
      </c>
      <c r="O17" s="24"/>
      <c r="Q17"/>
    </row>
    <row r="18" spans="1:17" ht="75" customHeight="1">
      <c r="B18" s="255"/>
      <c r="C18" s="258"/>
      <c r="D18" s="255"/>
      <c r="E18" s="112" t="s">
        <v>639</v>
      </c>
      <c r="O18" s="24"/>
      <c r="Q18"/>
    </row>
    <row r="19" spans="1:17" ht="60" customHeight="1">
      <c r="B19" s="253" t="s">
        <v>560</v>
      </c>
      <c r="C19" s="256" t="s">
        <v>551</v>
      </c>
      <c r="D19" s="253" t="s">
        <v>861</v>
      </c>
      <c r="E19" s="112" t="s">
        <v>1037</v>
      </c>
      <c r="P19"/>
      <c r="Q19"/>
    </row>
    <row r="20" spans="1:17" ht="60" customHeight="1">
      <c r="B20" s="254"/>
      <c r="C20" s="257"/>
      <c r="D20" s="254"/>
      <c r="E20" s="112" t="s">
        <v>562</v>
      </c>
      <c r="P20"/>
      <c r="Q20"/>
    </row>
    <row r="21" spans="1:17" ht="60" customHeight="1">
      <c r="B21" s="255"/>
      <c r="C21" s="258"/>
      <c r="D21" s="255"/>
      <c r="E21" s="112" t="s">
        <v>563</v>
      </c>
      <c r="P21"/>
      <c r="Q21"/>
    </row>
    <row r="22" spans="1:17" ht="175" customHeight="1">
      <c r="B22" s="117" t="s">
        <v>1370</v>
      </c>
      <c r="C22" s="118" t="s">
        <v>551</v>
      </c>
      <c r="D22" s="103" t="s">
        <v>1210</v>
      </c>
      <c r="E22" s="174" t="s">
        <v>676</v>
      </c>
      <c r="P22"/>
      <c r="Q22"/>
    </row>
    <row r="23" spans="1:17" ht="150" customHeight="1">
      <c r="B23" s="117" t="s">
        <v>1346</v>
      </c>
      <c r="C23" s="118" t="s">
        <v>551</v>
      </c>
      <c r="D23" s="103" t="s">
        <v>1038</v>
      </c>
      <c r="E23" s="174" t="s">
        <v>566</v>
      </c>
      <c r="P23"/>
      <c r="Q23"/>
    </row>
    <row r="24" spans="1:17" ht="125" customHeight="1">
      <c r="B24" s="253" t="s">
        <v>1331</v>
      </c>
      <c r="C24" s="256" t="s">
        <v>551</v>
      </c>
      <c r="D24" s="274" t="s">
        <v>1340</v>
      </c>
      <c r="E24" s="227" t="s">
        <v>575</v>
      </c>
      <c r="P24"/>
      <c r="Q24"/>
    </row>
    <row r="25" spans="1:17" ht="125" customHeight="1">
      <c r="B25" s="255"/>
      <c r="C25" s="258"/>
      <c r="D25" s="275"/>
      <c r="E25" s="227" t="s">
        <v>1329</v>
      </c>
      <c r="P25"/>
      <c r="Q25"/>
    </row>
    <row r="26" spans="1:17" ht="150" customHeight="1">
      <c r="B26" s="117" t="s">
        <v>567</v>
      </c>
      <c r="C26" s="118" t="s">
        <v>551</v>
      </c>
      <c r="D26" s="117" t="s">
        <v>568</v>
      </c>
      <c r="E26" s="112" t="s">
        <v>569</v>
      </c>
      <c r="P26"/>
      <c r="Q26"/>
    </row>
    <row r="27" spans="1:17" ht="150" customHeight="1">
      <c r="A27" s="78"/>
      <c r="B27" s="117" t="s">
        <v>570</v>
      </c>
      <c r="C27" s="118" t="s">
        <v>551</v>
      </c>
      <c r="D27" s="117" t="s">
        <v>862</v>
      </c>
      <c r="E27" s="112" t="str">
        <f>Hoteleria!$E$25</f>
        <v xml:space="preserve">Consulteu un exemple de codi de conducta/ètic de proveïdors
</v>
      </c>
      <c r="P27"/>
      <c r="Q27"/>
    </row>
    <row r="28" spans="1:17" ht="150" customHeight="1">
      <c r="A28" s="78"/>
      <c r="B28" s="117" t="s">
        <v>1374</v>
      </c>
      <c r="C28" s="119" t="s">
        <v>1375</v>
      </c>
      <c r="D28" s="117" t="s">
        <v>707</v>
      </c>
      <c r="E28" s="111" t="s">
        <v>574</v>
      </c>
      <c r="G28" s="86"/>
      <c r="H28" s="86"/>
      <c r="I28" s="86"/>
      <c r="J28" s="86"/>
      <c r="K28" s="83"/>
      <c r="L28" s="83"/>
      <c r="M28" s="87"/>
      <c r="N28" s="83"/>
      <c r="O28" s="86"/>
      <c r="P28" s="86"/>
      <c r="Q28" s="83"/>
    </row>
    <row r="29" spans="1:17" ht="75" customHeight="1">
      <c r="A29" s="78"/>
      <c r="B29" s="253" t="s">
        <v>1315</v>
      </c>
      <c r="C29" s="256" t="s">
        <v>551</v>
      </c>
      <c r="D29" s="253" t="s">
        <v>1316</v>
      </c>
      <c r="E29" s="174" t="s">
        <v>1298</v>
      </c>
      <c r="G29" s="86"/>
      <c r="H29" s="86"/>
      <c r="I29" s="86"/>
      <c r="J29" s="86"/>
      <c r="K29" s="83"/>
      <c r="L29" s="83"/>
      <c r="M29" s="87"/>
      <c r="N29" s="83"/>
      <c r="O29" s="86"/>
      <c r="P29" s="86"/>
      <c r="Q29" s="83"/>
    </row>
    <row r="30" spans="1:17" ht="75" customHeight="1">
      <c r="A30" s="76"/>
      <c r="B30" s="255"/>
      <c r="C30" s="258"/>
      <c r="D30" s="255"/>
      <c r="E30" s="175" t="s">
        <v>1039</v>
      </c>
      <c r="P30"/>
      <c r="Q30"/>
    </row>
    <row r="31" spans="1:17" ht="150" customHeight="1">
      <c r="A31" s="76"/>
      <c r="B31" s="150" t="s">
        <v>1183</v>
      </c>
      <c r="C31" s="161" t="s">
        <v>551</v>
      </c>
      <c r="D31" s="150" t="s">
        <v>1227</v>
      </c>
      <c r="E31" s="221" t="s">
        <v>643</v>
      </c>
      <c r="P31"/>
      <c r="Q31"/>
    </row>
    <row r="32" spans="1:17" ht="150" customHeight="1">
      <c r="A32" s="76"/>
      <c r="B32" s="150" t="s">
        <v>585</v>
      </c>
      <c r="C32" s="161" t="s">
        <v>551</v>
      </c>
      <c r="D32" s="150" t="s">
        <v>1229</v>
      </c>
      <c r="E32" s="216" t="s">
        <v>586</v>
      </c>
      <c r="P32"/>
      <c r="Q32"/>
    </row>
    <row r="33" spans="1:17" ht="150" customHeight="1">
      <c r="B33" s="150" t="s">
        <v>1255</v>
      </c>
      <c r="C33" s="161" t="s">
        <v>551</v>
      </c>
      <c r="D33" s="150" t="s">
        <v>1256</v>
      </c>
      <c r="E33" s="216" t="s">
        <v>775</v>
      </c>
      <c r="O33" s="24"/>
      <c r="Q33"/>
    </row>
    <row r="34" spans="1:17" ht="150" customHeight="1">
      <c r="A34" s="73"/>
      <c r="B34" s="150" t="s">
        <v>644</v>
      </c>
      <c r="C34" s="161" t="s">
        <v>551</v>
      </c>
      <c r="D34" s="150" t="s">
        <v>1234</v>
      </c>
      <c r="E34" s="216" t="s">
        <v>645</v>
      </c>
      <c r="P34"/>
      <c r="Q34"/>
    </row>
    <row r="35" spans="1:17">
      <c r="A35" s="76"/>
      <c r="B35" s="198"/>
      <c r="C35" s="75"/>
      <c r="D35" s="198"/>
      <c r="E35" s="199"/>
      <c r="P35"/>
      <c r="Q35"/>
    </row>
    <row r="36" spans="1:17" ht="13" customHeight="1">
      <c r="A36" s="73"/>
      <c r="P36"/>
      <c r="Q36"/>
    </row>
    <row r="37" spans="1:17" ht="50.15" customHeight="1">
      <c r="A37" s="73"/>
      <c r="B37" s="250" t="s">
        <v>1040</v>
      </c>
      <c r="C37" s="251"/>
      <c r="D37" s="251"/>
      <c r="E37" s="252"/>
      <c r="P37"/>
      <c r="Q37"/>
    </row>
    <row r="38" spans="1:17" ht="50.15" customHeight="1">
      <c r="A38" s="77"/>
      <c r="B38" s="197" t="s">
        <v>464</v>
      </c>
      <c r="C38" s="197" t="s">
        <v>548</v>
      </c>
      <c r="D38" s="197" t="s">
        <v>423</v>
      </c>
      <c r="E38" s="197" t="s">
        <v>634</v>
      </c>
      <c r="P38"/>
      <c r="Q38"/>
    </row>
    <row r="39" spans="1:17" ht="161.5" customHeight="1">
      <c r="A39" s="76"/>
      <c r="B39" s="117" t="s">
        <v>1346</v>
      </c>
      <c r="C39" s="118" t="s">
        <v>551</v>
      </c>
      <c r="D39" s="103" t="s">
        <v>1041</v>
      </c>
      <c r="E39" s="174" t="s">
        <v>1042</v>
      </c>
      <c r="P39"/>
      <c r="Q39"/>
    </row>
    <row r="40" spans="1:17" ht="150" customHeight="1">
      <c r="A40" s="70"/>
      <c r="B40" s="117" t="s">
        <v>1428</v>
      </c>
      <c r="C40" s="118" t="s">
        <v>551</v>
      </c>
      <c r="D40" s="103" t="s">
        <v>1043</v>
      </c>
      <c r="E40" s="174" t="s">
        <v>810</v>
      </c>
      <c r="P40"/>
      <c r="Q40"/>
    </row>
    <row r="41" spans="1:17" ht="158.5" customHeight="1">
      <c r="B41" s="117" t="s">
        <v>1044</v>
      </c>
      <c r="C41" s="118" t="s">
        <v>551</v>
      </c>
      <c r="D41" s="117" t="s">
        <v>1045</v>
      </c>
      <c r="E41" s="174" t="s">
        <v>1046</v>
      </c>
      <c r="P41"/>
      <c r="Q41"/>
    </row>
    <row r="42" spans="1:17" ht="75" customHeight="1">
      <c r="B42" s="248" t="s">
        <v>1450</v>
      </c>
      <c r="C42" s="294" t="s">
        <v>551</v>
      </c>
      <c r="D42" s="248" t="s">
        <v>1068</v>
      </c>
      <c r="E42" s="174" t="s">
        <v>1047</v>
      </c>
      <c r="O42" s="24"/>
      <c r="Q42"/>
    </row>
    <row r="43" spans="1:17" ht="75" customHeight="1">
      <c r="B43" s="248"/>
      <c r="C43" s="294"/>
      <c r="D43" s="248"/>
      <c r="E43" s="174" t="s">
        <v>1048</v>
      </c>
      <c r="O43" s="24"/>
      <c r="Q43"/>
    </row>
    <row r="44" spans="1:17" ht="150" customHeight="1">
      <c r="A44" s="76"/>
      <c r="B44" s="150" t="s">
        <v>1251</v>
      </c>
      <c r="C44" s="161" t="s">
        <v>551</v>
      </c>
      <c r="D44" s="150" t="s">
        <v>1248</v>
      </c>
      <c r="E44" s="220" t="s">
        <v>767</v>
      </c>
      <c r="P44"/>
      <c r="Q44"/>
    </row>
    <row r="45" spans="1:17" ht="150" customHeight="1">
      <c r="A45" s="76"/>
      <c r="B45" s="117" t="s">
        <v>1049</v>
      </c>
      <c r="C45" s="119" t="s">
        <v>551</v>
      </c>
      <c r="D45" s="117" t="s">
        <v>1274</v>
      </c>
      <c r="E45" s="174" t="s">
        <v>1050</v>
      </c>
      <c r="P45"/>
      <c r="Q45"/>
    </row>
    <row r="46" spans="1:17" ht="150" customHeight="1">
      <c r="A46" s="76"/>
      <c r="B46" s="117" t="s">
        <v>1051</v>
      </c>
      <c r="C46" s="119" t="s">
        <v>551</v>
      </c>
      <c r="D46" s="117" t="s">
        <v>1224</v>
      </c>
      <c r="E46" s="174" t="s">
        <v>769</v>
      </c>
      <c r="P46"/>
      <c r="Q46"/>
    </row>
    <row r="47" spans="1:17" ht="130.5" customHeight="1">
      <c r="A47" s="76"/>
      <c r="B47" s="117" t="s">
        <v>1052</v>
      </c>
      <c r="C47" s="119" t="s">
        <v>551</v>
      </c>
      <c r="D47" s="117" t="s">
        <v>1053</v>
      </c>
      <c r="E47" s="174" t="s">
        <v>1054</v>
      </c>
      <c r="P47"/>
      <c r="Q47"/>
    </row>
    <row r="48" spans="1:17" ht="150" customHeight="1">
      <c r="A48" s="76"/>
      <c r="B48" s="117" t="s">
        <v>1055</v>
      </c>
      <c r="C48" s="119" t="s">
        <v>551</v>
      </c>
      <c r="D48" s="117" t="s">
        <v>1451</v>
      </c>
      <c r="E48" s="174" t="s">
        <v>1056</v>
      </c>
      <c r="P48"/>
      <c r="Q48"/>
    </row>
    <row r="49" spans="15:17" ht="92.5" customHeight="1">
      <c r="O49" s="24"/>
      <c r="Q49"/>
    </row>
    <row r="50" spans="15:17" ht="82.5" customHeight="1">
      <c r="O50" s="24"/>
      <c r="Q50"/>
    </row>
  </sheetData>
  <mergeCells count="20">
    <mergeCell ref="D17:D18"/>
    <mergeCell ref="C17:C18"/>
    <mergeCell ref="B13:E13"/>
    <mergeCell ref="B17:B18"/>
    <mergeCell ref="B29:B30"/>
    <mergeCell ref="C4:C5"/>
    <mergeCell ref="C6:C8"/>
    <mergeCell ref="C9:C11"/>
    <mergeCell ref="C29:C30"/>
    <mergeCell ref="B42:B43"/>
    <mergeCell ref="C42:C43"/>
    <mergeCell ref="D42:D43"/>
    <mergeCell ref="B37:E37"/>
    <mergeCell ref="B19:B21"/>
    <mergeCell ref="C19:C21"/>
    <mergeCell ref="D19:D21"/>
    <mergeCell ref="D29:D30"/>
    <mergeCell ref="B24:B25"/>
    <mergeCell ref="C24:C25"/>
    <mergeCell ref="D24:D25"/>
  </mergeCells>
  <conditionalFormatting sqref="A30:A37">
    <cfRule type="containsText" dxfId="278" priority="6" operator="containsText" text="No Aplica">
      <formula>NOT(ISERROR(SEARCH("No Aplica",A30)))</formula>
    </cfRule>
    <cfRule type="containsText" dxfId="277" priority="7" operator="containsText" text="Seleccionar">
      <formula>NOT(ISERROR(SEARCH("Seleccionar",A30)))</formula>
    </cfRule>
    <cfRule type="containsText" dxfId="276" priority="8" operator="containsText" text="Parcialmente Cumple">
      <formula>NOT(ISERROR(SEARCH("Parcialmente Cumple",A30)))</formula>
    </cfRule>
    <cfRule type="containsText" dxfId="275" priority="9" operator="containsText" text="No Cumple">
      <formula>NOT(ISERROR(SEARCH("No Cumple",A30)))</formula>
    </cfRule>
    <cfRule type="beginsWith" dxfId="274" priority="10" operator="beginsWith" text="Cumple">
      <formula>LEFT(A30,LEN("Cumple"))="Cumple"</formula>
    </cfRule>
  </conditionalFormatting>
  <conditionalFormatting sqref="A44:A48">
    <cfRule type="containsText" dxfId="273" priority="1" operator="containsText" text="No Aplica">
      <formula>NOT(ISERROR(SEARCH("No Aplica",A44)))</formula>
    </cfRule>
    <cfRule type="containsText" dxfId="272" priority="2" operator="containsText" text="Seleccionar">
      <formula>NOT(ISERROR(SEARCH("Seleccionar",A44)))</formula>
    </cfRule>
    <cfRule type="containsText" dxfId="271" priority="3" operator="containsText" text="Parcialmente Cumple">
      <formula>NOT(ISERROR(SEARCH("Parcialmente Cumple",A44)))</formula>
    </cfRule>
    <cfRule type="containsText" dxfId="270" priority="4" operator="containsText" text="No Cumple">
      <formula>NOT(ISERROR(SEARCH("No Cumple",A44)))</formula>
    </cfRule>
    <cfRule type="beginsWith" dxfId="269" priority="5" operator="beginsWith" text="Cumple">
      <formula>LEFT(A44,LEN("Cumple"))="Cumple"</formula>
    </cfRule>
  </conditionalFormatting>
  <conditionalFormatting sqref="C3:C11 D26:D28">
    <cfRule type="containsText" dxfId="268" priority="61" operator="containsText" text="No Aplica">
      <formula>NOT(ISERROR(SEARCH("No Aplica",C3)))</formula>
    </cfRule>
    <cfRule type="containsText" dxfId="267" priority="62" operator="containsText" text="Pendiente">
      <formula>NOT(ISERROR(SEARCH("Pendiente",C3)))</formula>
    </cfRule>
    <cfRule type="containsText" dxfId="266" priority="63" operator="containsText" text="Parcialmente Cumple">
      <formula>NOT(ISERROR(SEARCH("Parcialmente Cumple",C3)))</formula>
    </cfRule>
    <cfRule type="containsText" dxfId="265" priority="64" operator="containsText" text="No Cumple">
      <formula>NOT(ISERROR(SEARCH("No Cumple",C3)))</formula>
    </cfRule>
    <cfRule type="beginsWith" dxfId="264" priority="65" operator="beginsWith" text="Cumple">
      <formula>LEFT(C3,LEN("Cumple"))="Cumple"</formula>
    </cfRule>
  </conditionalFormatting>
  <conditionalFormatting sqref="D14:D19">
    <cfRule type="containsText" dxfId="263" priority="21" operator="containsText" text="No Aplica">
      <formula>NOT(ISERROR(SEARCH("No Aplica",D14)))</formula>
    </cfRule>
    <cfRule type="containsText" dxfId="262" priority="22" operator="containsText" text="Pendiente">
      <formula>NOT(ISERROR(SEARCH("Pendiente",D14)))</formula>
    </cfRule>
    <cfRule type="containsText" dxfId="261" priority="23" operator="containsText" text="Parcialmente Cumple">
      <formula>NOT(ISERROR(SEARCH("Parcialmente Cumple",D14)))</formula>
    </cfRule>
    <cfRule type="containsText" dxfId="260" priority="24" operator="containsText" text="No Cumple">
      <formula>NOT(ISERROR(SEARCH("No Cumple",D14)))</formula>
    </cfRule>
    <cfRule type="beginsWith" dxfId="259" priority="25" operator="beginsWith" text="Cumple">
      <formula>LEFT(D14,LEN("Cumple"))="Cumple"</formula>
    </cfRule>
  </conditionalFormatting>
  <conditionalFormatting sqref="D23:D24">
    <cfRule type="containsText" dxfId="258" priority="31" operator="containsText" text="No Aplica">
      <formula>NOT(ISERROR(SEARCH("No Aplica",D23)))</formula>
    </cfRule>
    <cfRule type="containsText" dxfId="257" priority="32" operator="containsText" text="Pendiente">
      <formula>NOT(ISERROR(SEARCH("Pendiente",D23)))</formula>
    </cfRule>
    <cfRule type="containsText" dxfId="256" priority="33" operator="containsText" text="Parcialmente Cumple">
      <formula>NOT(ISERROR(SEARCH("Parcialmente Cumple",D23)))</formula>
    </cfRule>
    <cfRule type="containsText" dxfId="255" priority="34" operator="containsText" text="No Cumple">
      <formula>NOT(ISERROR(SEARCH("No Cumple",D23)))</formula>
    </cfRule>
    <cfRule type="beginsWith" dxfId="254" priority="35" operator="beginsWith" text="Cumple">
      <formula>LEFT(D23,LEN("Cumple"))="Cumple"</formula>
    </cfRule>
  </conditionalFormatting>
  <conditionalFormatting sqref="D38">
    <cfRule type="containsText" dxfId="253" priority="12" operator="containsText" text="Pendiente">
      <formula>NOT(ISERROR(SEARCH("Pendiente",D38)))</formula>
    </cfRule>
    <cfRule type="containsText" dxfId="252" priority="13" operator="containsText" text="Parcialmente Cumple">
      <formula>NOT(ISERROR(SEARCH("Parcialmente Cumple",D38)))</formula>
    </cfRule>
    <cfRule type="containsText" dxfId="251" priority="14" operator="containsText" text="No Cumple">
      <formula>NOT(ISERROR(SEARCH("No Cumple",D38)))</formula>
    </cfRule>
    <cfRule type="beginsWith" dxfId="250" priority="15" operator="beginsWith" text="Cumple">
      <formula>LEFT(D38,LEN("Cumple"))="Cumple"</formula>
    </cfRule>
  </conditionalFormatting>
  <conditionalFormatting sqref="D38:E38">
    <cfRule type="containsText" dxfId="249" priority="11" operator="containsText" text="No Aplica">
      <formula>NOT(ISERROR(SEARCH("No Aplica",D38)))</formula>
    </cfRule>
  </conditionalFormatting>
  <conditionalFormatting sqref="E14">
    <cfRule type="containsText" dxfId="248" priority="26" operator="containsText" text="No Aplica">
      <formula>NOT(ISERROR(SEARCH("No Aplica",E14)))</formula>
    </cfRule>
    <cfRule type="containsText" dxfId="247" priority="27" operator="containsText" text="Seleccionar">
      <formula>NOT(ISERROR(SEARCH("Seleccionar",E14)))</formula>
    </cfRule>
    <cfRule type="containsText" dxfId="246" priority="28" operator="containsText" text="Parcialmente Cumple">
      <formula>NOT(ISERROR(SEARCH("Parcialmente Cumple",E14)))</formula>
    </cfRule>
    <cfRule type="containsText" dxfId="245" priority="29" operator="containsText" text="No Cumple">
      <formula>NOT(ISERROR(SEARCH("No Cumple",E14)))</formula>
    </cfRule>
    <cfRule type="beginsWith" dxfId="244" priority="30" operator="beginsWith" text="Cumple">
      <formula>LEFT(E14,LEN("Cumple"))="Cumple"</formula>
    </cfRule>
  </conditionalFormatting>
  <conditionalFormatting sqref="E38">
    <cfRule type="containsText" dxfId="243" priority="17" operator="containsText" text="Seleccionar">
      <formula>NOT(ISERROR(SEARCH("Seleccionar",E38)))</formula>
    </cfRule>
    <cfRule type="containsText" dxfId="242" priority="18" operator="containsText" text="Parcialmente Cumple">
      <formula>NOT(ISERROR(SEARCH("Parcialmente Cumple",E38)))</formula>
    </cfRule>
    <cfRule type="containsText" dxfId="241" priority="19" operator="containsText" text="No Cumple">
      <formula>NOT(ISERROR(SEARCH("No Cumple",E38)))</formula>
    </cfRule>
    <cfRule type="beginsWith" dxfId="240" priority="20" operator="beginsWith" text="Cumple">
      <formula>LEFT(E38,LEN("Cumple"))="Cumple"</formula>
    </cfRule>
  </conditionalFormatting>
  <hyperlinks>
    <hyperlink ref="E39" r:id="rId1" display="Efficiencia Energética - IEA"/>
    <hyperlink ref="E16" r:id="rId2" display="Consulta información sobre ISO 9001"/>
    <hyperlink ref="E18" r:id="rId3" display="Consulta información sobre ISO 14001"/>
    <hyperlink ref="E19" r:id="rId4" display="Consulta más información sobre el CSRD"/>
    <hyperlink ref="E20" r:id="rId5" display="Consulta ley 11/2018"/>
    <hyperlink ref="E21" r:id="rId6" display="Consulta más información sobre el marco GRI"/>
    <hyperlink ref="E22" r:id="rId7" display="Consulta información sobre el GHG Protocol"/>
    <hyperlink ref="E23" r:id="rId8" display="Consulta el Documento de Referencia sobre las mejores tecnologías disponibles en términos de eficiencia energética"/>
    <hyperlink ref="E28" r:id="rId9" display="Consulta el Real Decreto 901/2020"/>
    <hyperlink ref="E30" r:id="rId10" display="Consulta información sobre las ecoetiquetas de la UE"/>
    <hyperlink ref="E29" r:id="rId11" display="Consulta ISO 20400:2017 sobre adquisición sostenible"/>
    <hyperlink ref="E41" r:id="rId12" display="Consulta información sobre la Ciberseguridad - Gencat"/>
    <hyperlink ref="E42" r:id="rId13" display="Consulta información sobre diversidad"/>
    <hyperlink ref="E43" r:id="rId14" display="Consulta ISO 30415:2021"/>
    <hyperlink ref="E40" r:id="rId15" display="Consulta el RGPD"/>
    <hyperlink ref="E17" r:id="rId16" display="Consulta informació sobre EMAS"/>
    <hyperlink ref="E26" r:id="rId17" display="https://act.gencat.cat/wp-content/uploads/2019/05/CAT-ACT-POL%C3%8DTICA-DE-PRIVACITAT.pdf"/>
    <hyperlink ref="E27" r:id="rId18" display="https://www.pactomundial.org/wp-content/uploads/2021/10/Codigo_conducta_proveedores.pdf"/>
    <hyperlink ref="E15" r:id="rId19" display="Consulta més informació sobre el codi de conducta"/>
    <hyperlink ref="E31" r:id="rId20" display="https://treball.gencat.cat/ca/ambits/seguretat_i_salut_laboral/ci_/pla-govern/"/>
    <hyperlink ref="E32" r:id="rId21" display="https://govern.cat/gov/pla-govern?eix=0&amp;ambit=1"/>
    <hyperlink ref="E33" r:id="rId22" display="https://canalempresa.gencat.cat/ca/01_que_voleu_fer/mesuresempresesiautonoms/mesures-economiques-i-socials-per-a-empreses-i-autonoms/ajuts-i-prestacions-per-empreses-i-autonoms/digitalitzacio-i-teletreball-per-a-pimes-i-autonoms/index.html"/>
    <hyperlink ref="E34" r:id="rId23" display="https://fonseuropeus.gencat.cat/ca/ris3cat/2030/index.html"/>
    <hyperlink ref="E45" r:id="rId24" display="https://notesdeseguretat.blog.gencat.cat/2023/07/17/acord-europeu-per-garantir-un-nivell-alt-i-comu-de-ciberseguretat/"/>
    <hyperlink ref="E46" r:id="rId25" display="https://dogc.gencat.cat/ca/document-del-dogc/?documentId=966011"/>
    <hyperlink ref="E44" r:id="rId26" display="https://dogc.gencat.cat/ca/document-del-dogc/?documentId=910618"/>
    <hyperlink ref="E48" r:id="rId27" display="https://apdcat.gencat.cat/ca/sala_de_premsa/notes_premsa/noticia/Recomanacio-ChatGPT"/>
    <hyperlink ref="E47" r:id="rId28" display="https://www.accio.gencat.cat/ca/sectors/tic/index.html"/>
    <hyperlink ref="E24" r:id="rId29"/>
    <hyperlink ref="E25" r:id="rId30"/>
  </hyperlinks>
  <pageMargins left="0.7" right="0.7" top="0.75" bottom="0.75" header="0.3" footer="0.3"/>
  <pageSetup paperSize="9" orientation="portrait" r:id="rId3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tabColor theme="9" tint="0.39997558519241921"/>
  </sheetPr>
  <dimension ref="A1:AN56"/>
  <sheetViews>
    <sheetView showGridLines="0" zoomScale="70" zoomScaleNormal="70" workbookViewId="0">
      <selection activeCell="E4" sqref="E4"/>
    </sheetView>
  </sheetViews>
  <sheetFormatPr defaultColWidth="11.453125" defaultRowHeight="12.5"/>
  <cols>
    <col min="1" max="1" width="15.453125" customWidth="1"/>
    <col min="2" max="2" width="36.453125" customWidth="1"/>
    <col min="3" max="3" width="22.269531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240" t="s">
        <v>1494</v>
      </c>
      <c r="E1" s="239" t="s">
        <v>1057</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08" t="s">
        <v>358</v>
      </c>
      <c r="E3" s="134"/>
      <c r="F3" s="134"/>
      <c r="G3" s="134"/>
      <c r="I3" s="135"/>
      <c r="J3" s="153"/>
      <c r="K3" s="153"/>
    </row>
    <row r="4" spans="1:40" ht="150" customHeight="1">
      <c r="B4" s="98" t="s">
        <v>423</v>
      </c>
      <c r="C4" s="266" t="s">
        <v>356</v>
      </c>
      <c r="D4" s="95" t="str">
        <f>HLOOKUP(D3,AUTO!$B$1:$AJ$2,2,FALSE)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E4" s="73"/>
      <c r="F4" s="73"/>
      <c r="G4" s="73"/>
      <c r="I4" s="73"/>
      <c r="J4" s="73"/>
      <c r="K4" s="73"/>
    </row>
    <row r="5" spans="1:40" ht="150" customHeight="1">
      <c r="B5" s="98" t="s">
        <v>456</v>
      </c>
      <c r="C5" s="267"/>
      <c r="D5" s="120" t="s">
        <v>1030</v>
      </c>
      <c r="E5" s="136"/>
      <c r="F5" s="136"/>
      <c r="G5" s="136"/>
      <c r="I5" s="136"/>
      <c r="J5" s="136"/>
    </row>
    <row r="6" spans="1:40" ht="50.15" customHeight="1">
      <c r="B6" s="110"/>
      <c r="C6" s="268" t="s">
        <v>369</v>
      </c>
      <c r="D6" s="156" t="s">
        <v>419</v>
      </c>
      <c r="E6" s="164" t="s">
        <v>372</v>
      </c>
      <c r="F6" s="106" t="s">
        <v>373</v>
      </c>
      <c r="G6" s="92" t="s">
        <v>371</v>
      </c>
      <c r="H6" s="132" t="s">
        <v>417</v>
      </c>
      <c r="I6" s="134"/>
      <c r="J6" s="134"/>
    </row>
    <row r="7" spans="1:40" ht="150" customHeight="1">
      <c r="B7" s="98" t="s">
        <v>423</v>
      </c>
      <c r="C7" s="266"/>
      <c r="D7" s="115" t="str">
        <f>HLOOKUP(D6,AUTO!$B$1:$AJ$2,2,FALSE)</f>
        <v>El compromís dels empleats i la promoció de la diversitat i inclusió a l'empresa són temes socials de gran rellevància. Aquests aspectes asseguren que la força laboral sigui diversa i que s'ofereixin oportunitats sense discriminació, la qual cosa permet la inclusió de membres de les comunitats locals i els consumidors dels productes de l'empresa. Per fomentar el compromís, la diversitat i la inclusió en l'empresa, és fonamental establir polítiques antidiscriminatòries en el procés de reclutament i promoure una cultura corporativa inclusiva.</v>
      </c>
      <c r="E7" s="115" t="str">
        <f>HLOOKUP(E6,AUTO!$B$1:$AJ$2,2,FALSE)</f>
        <v>La ciberseguretat tracta sobre la seguretat dels sistemes informàtics de les empreses. Aquests sistemes poden contenir informació crucial per a les operacions de l'empresa i/o dels seus clients, per la qual cosa és important comptar amb un bon nivell de protecció. Les empreses poden millorar la seva seguretat si assignen un responsable de ciberseguretat al departament d'IT. Addicionalment, podrien dur a terme proves de seguretat periòdiques i establir protocols per contenir qualsevol risc digital, entre d'altres.</v>
      </c>
      <c r="F7" s="95" t="str">
        <f>HLOOKUP(F6,AUTO!$B$1:$AJ$2,2,FALSE)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G7" s="95" t="str">
        <f>HLOOKUP(G6,AUTO!$B$1:$AJ$2,2,FALSE)</f>
        <v>El desenvolupament del capital humà pot ser un factor important per a empreses en sectors que requereixen coneixements o habilitats específiques. Les empreses que no inverteixen en el desenvolupament dels seus empleats poden perdre competitivitat en el mercat laboral, la qual cosa pot afectar la seva capacitat d'atreure i mantenir personal capacitat. Per assegurar la sostenibilitat social i econòmica en el futur, l'empresa pot oferir oportunitats de creixement al seu personal. En la mateixa línia, per mantenir una posició competitiva al mercat, les empreses han d'invertir en la formació i educació dels seus empleats.</v>
      </c>
      <c r="H7" s="205" t="str">
        <f>HLOOKUP(H6,AUTO!$B$1:$AJ$2,2,FALSE)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I7" s="73"/>
      <c r="J7" s="73"/>
    </row>
    <row r="8" spans="1:40" ht="150" customHeight="1">
      <c r="B8" s="98" t="s">
        <v>456</v>
      </c>
      <c r="C8" s="267"/>
      <c r="D8" s="120" t="s">
        <v>1034</v>
      </c>
      <c r="E8" s="131" t="s">
        <v>1032</v>
      </c>
      <c r="F8" s="120" t="s">
        <v>1058</v>
      </c>
      <c r="G8" s="120" t="s">
        <v>1195</v>
      </c>
      <c r="H8" s="192" t="s">
        <v>1194</v>
      </c>
      <c r="I8" s="136"/>
      <c r="J8" s="136"/>
    </row>
    <row r="9" spans="1:40" ht="50.15" customHeight="1">
      <c r="B9" s="99"/>
      <c r="C9" s="268" t="s">
        <v>383</v>
      </c>
      <c r="D9" s="106" t="s">
        <v>384</v>
      </c>
      <c r="E9" s="106" t="s">
        <v>387</v>
      </c>
      <c r="F9" s="108" t="s">
        <v>389</v>
      </c>
      <c r="G9" s="109" t="s">
        <v>385</v>
      </c>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 xml:space="preserve">La gestió de riscos sistèmics s'enfoca a la contribució d'una empresa pel que fa als riscos sistèmics que amenacen els sistemes econòmics, socials, ambientals i tecnològics dels quals la societat depèn. Exemples d'aquests riscos inclouen el consum excessiu d'aigua per part d'una empresa que opera en una zona que ja pateix estrès hídric. Per millorar la seva gestió de la sostenibilitat, l'organització pot avaluar els seus impactes i aplicar plans i mesures de mitigació, entre altres accions.
</v>
      </c>
      <c r="F10" s="95" t="str">
        <f>HLOOKUP(F9,AUTO!$B$1:$AJ$2,2,FALSE)</f>
        <v xml:space="preserve">La resiliència del model de negoci fa referència a la capacitat de l'empresa d'adaptar-se als canvis relacionats amb les transicions ASG (mediambientals, socials i de bon govern). Això inclou la capacitat de mitigar riscos (com els reputacionals, legals i físics) i aprofitar les oportunitats que presenten els possibles nous mercats i productes i la diferenciació basada en la sostenibilitat. Les empreses més resilients compten amb sistemes de gestió de la sostenibilitat que identifiquen, avaluen i responen als riscos i les oportunitats potencials.
</v>
      </c>
      <c r="G10" s="95" t="str">
        <f>HLOOKUP(G9,AUTO!$B$1:$AJ$2,2,FALSE)</f>
        <v>La competència responsable és crucial per combatre els monopolis i el lobbisme en les indústries. El seu objectiu principal és prevenir preus excessius, baixa qualitat en productes i serveis i d'altres irregularitats en el mercat. És essencial que qualsevol col·laboració entre empreses es realitzi de manera responsable i amb el propòsit de millorar els productes i serveis oferts als clients.</v>
      </c>
    </row>
    <row r="11" spans="1:40" ht="150" customHeight="1">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2" t="s">
        <v>1059</v>
      </c>
      <c r="F11" s="120" t="s">
        <v>1199</v>
      </c>
      <c r="G11" s="120" t="s">
        <v>1060</v>
      </c>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556</v>
      </c>
      <c r="O16" s="24"/>
      <c r="Q16"/>
    </row>
    <row r="17" spans="1:17" ht="75" customHeight="1">
      <c r="B17" s="253" t="s">
        <v>1345</v>
      </c>
      <c r="C17" s="256" t="s">
        <v>551</v>
      </c>
      <c r="D17" s="253" t="s">
        <v>557</v>
      </c>
      <c r="E17" s="111" t="s">
        <v>860</v>
      </c>
      <c r="O17" s="24"/>
      <c r="Q17"/>
    </row>
    <row r="18" spans="1:17" ht="75" customHeight="1">
      <c r="B18" s="255"/>
      <c r="C18" s="258"/>
      <c r="D18" s="255"/>
      <c r="E18" s="112" t="s">
        <v>639</v>
      </c>
      <c r="O18" s="24"/>
      <c r="Q18"/>
    </row>
    <row r="19" spans="1:17" ht="50" customHeight="1">
      <c r="B19" s="253" t="s">
        <v>560</v>
      </c>
      <c r="C19" s="256" t="s">
        <v>551</v>
      </c>
      <c r="D19" s="253" t="s">
        <v>861</v>
      </c>
      <c r="E19" s="112" t="s">
        <v>983</v>
      </c>
      <c r="P19"/>
      <c r="Q19"/>
    </row>
    <row r="20" spans="1:17" ht="50" customHeight="1">
      <c r="B20" s="254"/>
      <c r="C20" s="257"/>
      <c r="D20" s="254"/>
      <c r="E20" s="112" t="s">
        <v>1061</v>
      </c>
      <c r="P20"/>
      <c r="Q20"/>
    </row>
    <row r="21" spans="1:17" ht="50" customHeight="1">
      <c r="B21" s="254"/>
      <c r="C21" s="257"/>
      <c r="D21" s="254"/>
      <c r="E21" s="112" t="s">
        <v>562</v>
      </c>
      <c r="P21"/>
      <c r="Q21"/>
    </row>
    <row r="22" spans="1:17" ht="50" customHeight="1">
      <c r="B22" s="255"/>
      <c r="C22" s="258"/>
      <c r="D22" s="255"/>
      <c r="E22" s="112" t="s">
        <v>563</v>
      </c>
      <c r="P22"/>
      <c r="Q22"/>
    </row>
    <row r="23" spans="1:17" ht="86.5" customHeight="1">
      <c r="B23" s="253" t="s">
        <v>1370</v>
      </c>
      <c r="C23" s="256" t="s">
        <v>551</v>
      </c>
      <c r="D23" s="253" t="s">
        <v>1210</v>
      </c>
      <c r="E23" s="174" t="s">
        <v>676</v>
      </c>
      <c r="O23" s="72"/>
      <c r="P23" s="72"/>
      <c r="Q23"/>
    </row>
    <row r="24" spans="1:17" ht="60" customHeight="1">
      <c r="B24" s="254"/>
      <c r="C24" s="257"/>
      <c r="D24" s="254"/>
      <c r="E24" s="285" t="s">
        <v>582</v>
      </c>
      <c r="P24"/>
      <c r="Q24"/>
    </row>
    <row r="25" spans="1:17" ht="32.5" customHeight="1">
      <c r="B25" s="255"/>
      <c r="C25" s="258"/>
      <c r="D25" s="255"/>
      <c r="E25" s="285"/>
      <c r="P25"/>
      <c r="Q25"/>
    </row>
    <row r="26" spans="1:17" ht="150" customHeight="1">
      <c r="B26" s="117" t="s">
        <v>1346</v>
      </c>
      <c r="C26" s="118" t="s">
        <v>551</v>
      </c>
      <c r="D26" s="103" t="s">
        <v>1038</v>
      </c>
      <c r="E26" s="174" t="s">
        <v>566</v>
      </c>
      <c r="P26"/>
      <c r="Q26"/>
    </row>
    <row r="27" spans="1:17" ht="150" customHeight="1">
      <c r="B27" s="117" t="s">
        <v>567</v>
      </c>
      <c r="C27" s="118" t="s">
        <v>551</v>
      </c>
      <c r="D27" s="117" t="s">
        <v>568</v>
      </c>
      <c r="E27" s="112" t="s">
        <v>569</v>
      </c>
      <c r="P27"/>
      <c r="Q27"/>
    </row>
    <row r="28" spans="1:17" ht="150" customHeight="1">
      <c r="A28" s="78"/>
      <c r="B28" s="117" t="s">
        <v>1374</v>
      </c>
      <c r="C28" s="119" t="s">
        <v>1375</v>
      </c>
      <c r="D28" s="117" t="s">
        <v>707</v>
      </c>
      <c r="E28" s="175" t="s">
        <v>574</v>
      </c>
      <c r="G28" s="86"/>
      <c r="H28" s="86"/>
      <c r="I28" s="86"/>
      <c r="J28" s="86"/>
      <c r="K28" s="83"/>
      <c r="L28" s="86"/>
      <c r="M28" s="86"/>
      <c r="N28" s="83"/>
      <c r="P28"/>
      <c r="Q28"/>
    </row>
    <row r="29" spans="1:17" ht="150" customHeight="1">
      <c r="A29" s="78"/>
      <c r="B29" s="117" t="s">
        <v>1318</v>
      </c>
      <c r="C29" s="119" t="s">
        <v>551</v>
      </c>
      <c r="D29" s="117" t="s">
        <v>1308</v>
      </c>
      <c r="E29" s="233" t="s">
        <v>1307</v>
      </c>
      <c r="G29" s="86"/>
      <c r="H29" s="86"/>
      <c r="I29" s="86"/>
      <c r="J29" s="86"/>
      <c r="K29" s="83"/>
      <c r="L29" s="86"/>
      <c r="M29" s="86"/>
      <c r="N29" s="83"/>
      <c r="P29"/>
      <c r="Q29"/>
    </row>
    <row r="30" spans="1:17" ht="125" customHeight="1">
      <c r="B30" s="274" t="s">
        <v>1331</v>
      </c>
      <c r="C30" s="256" t="s">
        <v>551</v>
      </c>
      <c r="D30" s="274" t="s">
        <v>1341</v>
      </c>
      <c r="E30" s="174" t="s">
        <v>575</v>
      </c>
      <c r="G30" s="140"/>
      <c r="H30" s="140"/>
      <c r="P30"/>
      <c r="Q30"/>
    </row>
    <row r="31" spans="1:17" ht="125" customHeight="1">
      <c r="B31" s="275"/>
      <c r="C31" s="272"/>
      <c r="D31" s="275"/>
      <c r="E31" s="227" t="s">
        <v>1329</v>
      </c>
      <c r="G31" s="140"/>
      <c r="H31" s="140"/>
      <c r="P31"/>
      <c r="Q31"/>
    </row>
    <row r="32" spans="1:17" ht="75" customHeight="1">
      <c r="B32" s="248" t="s">
        <v>1315</v>
      </c>
      <c r="C32" s="294" t="s">
        <v>551</v>
      </c>
      <c r="D32" s="248" t="s">
        <v>1316</v>
      </c>
      <c r="E32" s="174" t="s">
        <v>1298</v>
      </c>
      <c r="G32" s="140"/>
      <c r="H32" s="140"/>
      <c r="P32"/>
      <c r="Q32"/>
    </row>
    <row r="33" spans="1:17" ht="74.150000000000006" customHeight="1">
      <c r="B33" s="248"/>
      <c r="C33" s="294"/>
      <c r="D33" s="248"/>
      <c r="E33" s="175" t="s">
        <v>1039</v>
      </c>
      <c r="G33" s="140"/>
      <c r="H33" s="140"/>
      <c r="P33"/>
      <c r="Q33"/>
    </row>
    <row r="34" spans="1:17" ht="150" customHeight="1">
      <c r="A34" s="76"/>
      <c r="B34" s="150" t="s">
        <v>1183</v>
      </c>
      <c r="C34" s="161" t="s">
        <v>551</v>
      </c>
      <c r="D34" s="150" t="s">
        <v>1227</v>
      </c>
      <c r="E34" s="221" t="s">
        <v>643</v>
      </c>
      <c r="P34"/>
      <c r="Q34"/>
    </row>
    <row r="35" spans="1:17" ht="150" customHeight="1">
      <c r="A35" s="226"/>
      <c r="B35" s="150" t="s">
        <v>1250</v>
      </c>
      <c r="C35" s="161" t="s">
        <v>551</v>
      </c>
      <c r="D35" s="150" t="s">
        <v>1248</v>
      </c>
      <c r="E35" s="216" t="s">
        <v>767</v>
      </c>
      <c r="P35"/>
      <c r="Q35"/>
    </row>
    <row r="36" spans="1:17" ht="150" customHeight="1">
      <c r="A36" s="76"/>
      <c r="B36" s="150" t="s">
        <v>768</v>
      </c>
      <c r="C36" s="161" t="s">
        <v>551</v>
      </c>
      <c r="D36" s="150" t="s">
        <v>1252</v>
      </c>
      <c r="E36" s="216" t="s">
        <v>769</v>
      </c>
      <c r="P36"/>
      <c r="Q36"/>
    </row>
    <row r="37" spans="1:17" ht="150" customHeight="1">
      <c r="A37" s="76"/>
      <c r="B37" s="117" t="s">
        <v>1055</v>
      </c>
      <c r="C37" s="119" t="s">
        <v>551</v>
      </c>
      <c r="D37" s="117" t="s">
        <v>1276</v>
      </c>
      <c r="E37" s="174" t="s">
        <v>1062</v>
      </c>
      <c r="P37"/>
      <c r="Q37"/>
    </row>
    <row r="38" spans="1:17" ht="150" customHeight="1">
      <c r="A38" s="76"/>
      <c r="B38" s="117" t="s">
        <v>1317</v>
      </c>
      <c r="C38" s="119" t="s">
        <v>551</v>
      </c>
      <c r="D38" s="117" t="s">
        <v>1275</v>
      </c>
      <c r="E38" s="174" t="s">
        <v>1063</v>
      </c>
      <c r="P38"/>
      <c r="Q38"/>
    </row>
    <row r="39" spans="1:17" ht="150" customHeight="1">
      <c r="A39" s="76"/>
      <c r="B39" s="150" t="s">
        <v>585</v>
      </c>
      <c r="C39" s="161" t="s">
        <v>551</v>
      </c>
      <c r="D39" s="150" t="s">
        <v>1229</v>
      </c>
      <c r="E39" s="216" t="s">
        <v>586</v>
      </c>
      <c r="P39"/>
      <c r="Q39"/>
    </row>
    <row r="40" spans="1:17" ht="150" customHeight="1">
      <c r="B40" s="150" t="s">
        <v>774</v>
      </c>
      <c r="C40" s="161" t="s">
        <v>551</v>
      </c>
      <c r="D40" s="150" t="s">
        <v>1256</v>
      </c>
      <c r="E40" s="216" t="s">
        <v>775</v>
      </c>
      <c r="O40" s="24"/>
      <c r="Q40"/>
    </row>
    <row r="41" spans="1:17" ht="150" customHeight="1">
      <c r="A41" s="73"/>
      <c r="B41" s="150" t="s">
        <v>644</v>
      </c>
      <c r="C41" s="161" t="s">
        <v>551</v>
      </c>
      <c r="D41" s="150" t="s">
        <v>1234</v>
      </c>
      <c r="E41" s="216" t="s">
        <v>645</v>
      </c>
      <c r="P41"/>
      <c r="Q41"/>
    </row>
    <row r="42" spans="1:17">
      <c r="A42" s="76"/>
      <c r="P42"/>
      <c r="Q42"/>
    </row>
    <row r="43" spans="1:17" ht="13" customHeight="1">
      <c r="A43" s="73"/>
      <c r="P43"/>
      <c r="Q43"/>
    </row>
    <row r="44" spans="1:17" ht="50.15" customHeight="1">
      <c r="A44" s="73"/>
      <c r="B44" s="250" t="s">
        <v>1064</v>
      </c>
      <c r="C44" s="251"/>
      <c r="D44" s="251"/>
      <c r="E44" s="252"/>
      <c r="P44"/>
      <c r="Q44"/>
    </row>
    <row r="45" spans="1:17" ht="50.15" customHeight="1">
      <c r="A45" s="77"/>
      <c r="B45" s="197" t="s">
        <v>464</v>
      </c>
      <c r="C45" s="197" t="s">
        <v>548</v>
      </c>
      <c r="D45" s="197" t="s">
        <v>423</v>
      </c>
      <c r="E45" s="197" t="s">
        <v>634</v>
      </c>
      <c r="P45"/>
      <c r="Q45"/>
    </row>
    <row r="46" spans="1:17" ht="100" customHeight="1">
      <c r="A46" s="76"/>
      <c r="B46" s="248" t="s">
        <v>1452</v>
      </c>
      <c r="C46" s="248" t="s">
        <v>1453</v>
      </c>
      <c r="D46" s="248" t="s">
        <v>1454</v>
      </c>
      <c r="E46" s="174" t="s">
        <v>1065</v>
      </c>
      <c r="P46"/>
      <c r="Q46"/>
    </row>
    <row r="47" spans="1:17" ht="100" customHeight="1">
      <c r="A47" s="76"/>
      <c r="B47" s="248"/>
      <c r="C47" s="248"/>
      <c r="D47" s="248"/>
      <c r="E47" s="175" t="s">
        <v>1066</v>
      </c>
      <c r="P47"/>
      <c r="Q47"/>
    </row>
    <row r="48" spans="1:17" ht="150" customHeight="1">
      <c r="A48" s="70"/>
      <c r="B48" s="117" t="s">
        <v>1428</v>
      </c>
      <c r="C48" s="118" t="s">
        <v>551</v>
      </c>
      <c r="D48" s="103" t="s">
        <v>1455</v>
      </c>
      <c r="E48" s="174" t="s">
        <v>810</v>
      </c>
      <c r="P48"/>
      <c r="Q48"/>
    </row>
    <row r="49" spans="2:17" ht="174.65" customHeight="1">
      <c r="B49" s="117" t="s">
        <v>1067</v>
      </c>
      <c r="C49" s="118" t="s">
        <v>551</v>
      </c>
      <c r="D49" s="117" t="s">
        <v>1045</v>
      </c>
      <c r="E49" s="174" t="s">
        <v>1046</v>
      </c>
      <c r="O49" s="24"/>
      <c r="Q49"/>
    </row>
    <row r="50" spans="2:17" ht="75" customHeight="1">
      <c r="B50" s="248" t="s">
        <v>1450</v>
      </c>
      <c r="C50" s="294" t="s">
        <v>551</v>
      </c>
      <c r="D50" s="248" t="s">
        <v>1068</v>
      </c>
      <c r="E50" s="174" t="s">
        <v>1047</v>
      </c>
      <c r="O50" s="24"/>
      <c r="Q50"/>
    </row>
    <row r="51" spans="2:17" ht="75" customHeight="1">
      <c r="B51" s="248"/>
      <c r="C51" s="294"/>
      <c r="D51" s="248"/>
      <c r="E51" s="174" t="s">
        <v>1048</v>
      </c>
      <c r="O51" s="24"/>
      <c r="Q51"/>
    </row>
    <row r="52" spans="2:17" ht="150" customHeight="1">
      <c r="B52" s="103" t="s">
        <v>1422</v>
      </c>
      <c r="C52" s="118" t="s">
        <v>551</v>
      </c>
      <c r="D52" s="117" t="s">
        <v>1069</v>
      </c>
      <c r="E52" s="174" t="s">
        <v>779</v>
      </c>
      <c r="O52" s="24"/>
      <c r="Q52"/>
    </row>
    <row r="53" spans="2:17" ht="50" customHeight="1">
      <c r="B53" s="261" t="s">
        <v>610</v>
      </c>
      <c r="C53" s="283" t="s">
        <v>551</v>
      </c>
      <c r="D53" s="261" t="s">
        <v>1429</v>
      </c>
      <c r="E53" s="216" t="s">
        <v>1070</v>
      </c>
      <c r="O53" s="24"/>
      <c r="Q53"/>
    </row>
    <row r="54" spans="2:17" ht="50" customHeight="1">
      <c r="B54" s="282"/>
      <c r="C54" s="284"/>
      <c r="D54" s="282"/>
      <c r="E54" s="216" t="s">
        <v>1071</v>
      </c>
      <c r="O54" s="24"/>
      <c r="Q54"/>
    </row>
    <row r="55" spans="2:17" ht="50" customHeight="1">
      <c r="B55" s="262"/>
      <c r="C55" s="297"/>
      <c r="D55" s="262"/>
      <c r="E55" s="216" t="s">
        <v>1072</v>
      </c>
      <c r="O55" s="24"/>
      <c r="Q55"/>
    </row>
    <row r="56" spans="2:17" ht="150" customHeight="1">
      <c r="B56" s="117" t="s">
        <v>1019</v>
      </c>
      <c r="C56" s="118" t="s">
        <v>551</v>
      </c>
      <c r="D56" s="117" t="s">
        <v>1265</v>
      </c>
      <c r="E56" s="174" t="s">
        <v>1020</v>
      </c>
    </row>
  </sheetData>
  <mergeCells count="30">
    <mergeCell ref="D23:D25"/>
    <mergeCell ref="E24:E25"/>
    <mergeCell ref="B53:B55"/>
    <mergeCell ref="C53:C55"/>
    <mergeCell ref="D53:D55"/>
    <mergeCell ref="B46:B47"/>
    <mergeCell ref="C46:C47"/>
    <mergeCell ref="D46:D47"/>
    <mergeCell ref="B50:B51"/>
    <mergeCell ref="C50:C51"/>
    <mergeCell ref="D50:D51"/>
    <mergeCell ref="B30:B31"/>
    <mergeCell ref="C30:C31"/>
    <mergeCell ref="D30:D31"/>
    <mergeCell ref="B19:B22"/>
    <mergeCell ref="B44:E44"/>
    <mergeCell ref="C19:C22"/>
    <mergeCell ref="D19:D22"/>
    <mergeCell ref="C4:C5"/>
    <mergeCell ref="C6:C8"/>
    <mergeCell ref="C9:C11"/>
    <mergeCell ref="B13:E13"/>
    <mergeCell ref="B17:B18"/>
    <mergeCell ref="D17:D18"/>
    <mergeCell ref="C17:C18"/>
    <mergeCell ref="B32:B33"/>
    <mergeCell ref="D32:D33"/>
    <mergeCell ref="C32:C33"/>
    <mergeCell ref="B23:B25"/>
    <mergeCell ref="C23:C25"/>
  </mergeCells>
  <conditionalFormatting sqref="A34:A44">
    <cfRule type="containsText" dxfId="239" priority="6" operator="containsText" text="No Aplica">
      <formula>NOT(ISERROR(SEARCH("No Aplica",A34)))</formula>
    </cfRule>
    <cfRule type="containsText" dxfId="238" priority="7" operator="containsText" text="Seleccionar">
      <formula>NOT(ISERROR(SEARCH("Seleccionar",A34)))</formula>
    </cfRule>
    <cfRule type="containsText" dxfId="237" priority="8" operator="containsText" text="Parcialmente Cumple">
      <formula>NOT(ISERROR(SEARCH("Parcialmente Cumple",A34)))</formula>
    </cfRule>
    <cfRule type="containsText" dxfId="236" priority="9" operator="containsText" text="No Cumple">
      <formula>NOT(ISERROR(SEARCH("No Cumple",A34)))</formula>
    </cfRule>
    <cfRule type="beginsWith" dxfId="235" priority="10" operator="beginsWith" text="Cumple">
      <formula>LEFT(A34,LEN("Cumple"))="Cumple"</formula>
    </cfRule>
  </conditionalFormatting>
  <conditionalFormatting sqref="C3:C11">
    <cfRule type="containsText" dxfId="234" priority="31" operator="containsText" text="No Aplica">
      <formula>NOT(ISERROR(SEARCH("No Aplica",C3)))</formula>
    </cfRule>
    <cfRule type="containsText" dxfId="233" priority="32" operator="containsText" text="Pendiente">
      <formula>NOT(ISERROR(SEARCH("Pendiente",C3)))</formula>
    </cfRule>
    <cfRule type="containsText" dxfId="232" priority="33" operator="containsText" text="Parcialmente Cumple">
      <formula>NOT(ISERROR(SEARCH("Parcialmente Cumple",C3)))</formula>
    </cfRule>
    <cfRule type="containsText" dxfId="231" priority="34" operator="containsText" text="No Cumple">
      <formula>NOT(ISERROR(SEARCH("No Cumple",C3)))</formula>
    </cfRule>
    <cfRule type="beginsWith" dxfId="230" priority="35" operator="beginsWith" text="Cumple">
      <formula>LEFT(C3,LEN("Cumple"))="Cumple"</formula>
    </cfRule>
  </conditionalFormatting>
  <conditionalFormatting sqref="D14:D20">
    <cfRule type="containsText" dxfId="229" priority="21" operator="containsText" text="No Aplica">
      <formula>NOT(ISERROR(SEARCH("No Aplica",D14)))</formula>
    </cfRule>
    <cfRule type="containsText" dxfId="228" priority="22" operator="containsText" text="Pendiente">
      <formula>NOT(ISERROR(SEARCH("Pendiente",D14)))</formula>
    </cfRule>
    <cfRule type="containsText" dxfId="227" priority="23" operator="containsText" text="Parcialmente Cumple">
      <formula>NOT(ISERROR(SEARCH("Parcialmente Cumple",D14)))</formula>
    </cfRule>
    <cfRule type="containsText" dxfId="226" priority="24" operator="containsText" text="No Cumple">
      <formula>NOT(ISERROR(SEARCH("No Cumple",D14)))</formula>
    </cfRule>
    <cfRule type="beginsWith" dxfId="225" priority="25" operator="beginsWith" text="Cumple">
      <formula>LEFT(D14,LEN("Cumple"))="Cumple"</formula>
    </cfRule>
  </conditionalFormatting>
  <conditionalFormatting sqref="D26:D29">
    <cfRule type="containsText" dxfId="224" priority="46" operator="containsText" text="No Aplica">
      <formula>NOT(ISERROR(SEARCH("No Aplica",D26)))</formula>
    </cfRule>
    <cfRule type="containsText" dxfId="223" priority="47" operator="containsText" text="Pendiente">
      <formula>NOT(ISERROR(SEARCH("Pendiente",D26)))</formula>
    </cfRule>
    <cfRule type="containsText" dxfId="222" priority="48" operator="containsText" text="Parcialmente Cumple">
      <formula>NOT(ISERROR(SEARCH("Parcialmente Cumple",D26)))</formula>
    </cfRule>
    <cfRule type="containsText" dxfId="221" priority="49" operator="containsText" text="No Cumple">
      <formula>NOT(ISERROR(SEARCH("No Cumple",D26)))</formula>
    </cfRule>
    <cfRule type="beginsWith" dxfId="220" priority="50" operator="beginsWith" text="Cumple">
      <formula>LEFT(D26,LEN("Cumple"))="Cumple"</formula>
    </cfRule>
  </conditionalFormatting>
  <conditionalFormatting sqref="D45">
    <cfRule type="containsText" dxfId="219" priority="12" operator="containsText" text="Pendiente">
      <formula>NOT(ISERROR(SEARCH("Pendiente",D45)))</formula>
    </cfRule>
    <cfRule type="containsText" dxfId="218" priority="13" operator="containsText" text="Parcialmente Cumple">
      <formula>NOT(ISERROR(SEARCH("Parcialmente Cumple",D45)))</formula>
    </cfRule>
    <cfRule type="containsText" dxfId="217" priority="14" operator="containsText" text="No Cumple">
      <formula>NOT(ISERROR(SEARCH("No Cumple",D45)))</formula>
    </cfRule>
    <cfRule type="beginsWith" dxfId="216" priority="15" operator="beginsWith" text="Cumple">
      <formula>LEFT(D45,LEN("Cumple"))="Cumple"</formula>
    </cfRule>
  </conditionalFormatting>
  <conditionalFormatting sqref="D45:E45">
    <cfRule type="containsText" dxfId="215" priority="11" operator="containsText" text="No Aplica">
      <formula>NOT(ISERROR(SEARCH("No Aplica",D45)))</formula>
    </cfRule>
  </conditionalFormatting>
  <conditionalFormatting sqref="E14">
    <cfRule type="containsText" dxfId="214" priority="26" operator="containsText" text="No Aplica">
      <formula>NOT(ISERROR(SEARCH("No Aplica",E14)))</formula>
    </cfRule>
    <cfRule type="containsText" dxfId="213" priority="27" operator="containsText" text="Seleccionar">
      <formula>NOT(ISERROR(SEARCH("Seleccionar",E14)))</formula>
    </cfRule>
    <cfRule type="containsText" dxfId="212" priority="28" operator="containsText" text="Parcialmente Cumple">
      <formula>NOT(ISERROR(SEARCH("Parcialmente Cumple",E14)))</formula>
    </cfRule>
    <cfRule type="containsText" dxfId="211" priority="29" operator="containsText" text="No Cumple">
      <formula>NOT(ISERROR(SEARCH("No Cumple",E14)))</formula>
    </cfRule>
    <cfRule type="beginsWith" dxfId="210" priority="30" operator="beginsWith" text="Cumple">
      <formula>LEFT(E14,LEN("Cumple"))="Cumple"</formula>
    </cfRule>
  </conditionalFormatting>
  <conditionalFormatting sqref="E45">
    <cfRule type="containsText" dxfId="209" priority="17" operator="containsText" text="Seleccionar">
      <formula>NOT(ISERROR(SEARCH("Seleccionar",E45)))</formula>
    </cfRule>
    <cfRule type="containsText" dxfId="208" priority="18" operator="containsText" text="Parcialmente Cumple">
      <formula>NOT(ISERROR(SEARCH("Parcialmente Cumple",E45)))</formula>
    </cfRule>
    <cfRule type="containsText" dxfId="207" priority="19" operator="containsText" text="No Cumple">
      <formula>NOT(ISERROR(SEARCH("No Cumple",E45)))</formula>
    </cfRule>
    <cfRule type="beginsWith" dxfId="206" priority="20" operator="beginsWith" text="Cumple">
      <formula>LEFT(E45,LEN("Cumple"))="Cumple"</formula>
    </cfRule>
  </conditionalFormatting>
  <conditionalFormatting sqref="E53:E55">
    <cfRule type="containsText" dxfId="205" priority="1" operator="containsText" text="No Aplica">
      <formula>NOT(ISERROR(SEARCH("No Aplica",E53)))</formula>
    </cfRule>
    <cfRule type="containsText" dxfId="204" priority="2" operator="containsText" text="Seleccionar">
      <formula>NOT(ISERROR(SEARCH("Seleccionar",E53)))</formula>
    </cfRule>
    <cfRule type="containsText" dxfId="203" priority="3" operator="containsText" text="Parcialmente Cumple">
      <formula>NOT(ISERROR(SEARCH("Parcialmente Cumple",E53)))</formula>
    </cfRule>
    <cfRule type="containsText" dxfId="202" priority="4" operator="containsText" text="No Cumple">
      <formula>NOT(ISERROR(SEARCH("No Cumple",E53)))</formula>
    </cfRule>
    <cfRule type="beginsWith" dxfId="201" priority="5" operator="beginsWith" text="Cumple">
      <formula>LEFT(E53,LEN("Cumple"))="Cumple"</formula>
    </cfRule>
  </conditionalFormatting>
  <hyperlinks>
    <hyperlink ref="E46" r:id="rId1" display="CSRD - ESRS (Estandares)"/>
    <hyperlink ref="E47" r:id="rId2" display="Ley 11/2018"/>
    <hyperlink ref="E48" r:id="rId3" display="Consulta el GDPR"/>
    <hyperlink ref="E49" r:id="rId4" display="Consulta información sobre la Ciberseguridad - Gencat"/>
    <hyperlink ref="E50" r:id="rId5" display="Consulta información sobre diversidad"/>
    <hyperlink ref="E51" r:id="rId6" display="Consulta ISO 30415:2021"/>
    <hyperlink ref="E33" r:id="rId7" display="Consulta información sobre las ecoetiquetas de la UE"/>
    <hyperlink ref="E32" r:id="rId8" display="Consulta ISO 20400:2017 sobre adquisición sostenible"/>
    <hyperlink ref="E52" r:id="rId9" display="Consulta más información sobre el capital humano"/>
    <hyperlink ref="E16" r:id="rId10" display="Consulta información sobre ISO 9001"/>
    <hyperlink ref="E18" r:id="rId11" display="Consulta información sobre ISO 14001"/>
    <hyperlink ref="E19" r:id="rId12" display="Consulta más información sobre el CSRD"/>
    <hyperlink ref="E21" r:id="rId13" display="Consulta ley 11/2018"/>
    <hyperlink ref="E22" r:id="rId14" display="Consulta más información sobre el marco GRI"/>
    <hyperlink ref="E26" r:id="rId15" display="Consulta el Documento de Referencia sobre las mejores tecnologías disponibles en términos de eficiencia energética"/>
    <hyperlink ref="E28" r:id="rId16" display="Consulta el Real Decreto 901/2020"/>
    <hyperlink ref="E30" r:id="rId17" display="Consulta Ley 7/2022"/>
    <hyperlink ref="E17" r:id="rId18" display="Consulta informació sobre EMAS"/>
    <hyperlink ref="E27" r:id="rId19" display="https://act.gencat.cat/wp-content/uploads/2019/05/CAT-ACT-POL%C3%8DTICA-DE-PRIVACITAT.pdf"/>
    <hyperlink ref="E15" r:id="rId20" display="Consulta més informació sobre el codi de conducta"/>
    <hyperlink ref="E20" r:id="rId21" display="Consulta la Directiva (UE) 2022/2464 en relació a la presentació d'informació sobre sostenibilitat per part de les empreses"/>
    <hyperlink ref="E34" r:id="rId22" display="https://treball.gencat.cat/ca/ambits/seguretat_i_salut_laboral/ci_/pla-govern/"/>
    <hyperlink ref="E36" r:id="rId23" display="https://dogc.gencat.cat/ca/document-del-dogc/?documentId=966011"/>
    <hyperlink ref="E38" r:id="rId24" display="https://serveiocupacio.gencat.cat/ca/soc/qui-som-que-fem/estrategia-ocupacio/estrategia-catalana-ocupacio-qualitat-2022-2027/index.html"/>
    <hyperlink ref="E37" r:id="rId25" display="https://apdcat.gencat.cat/ca/documentacio/guies_basiques/"/>
    <hyperlink ref="E35" r:id="rId26" display="https://cido.diba.cat/legislacio/12275944/acord-gov1452021-de-21-de-setembre-pel-qual-saprova-la-politica-de-ciberseguretat-de-la-generalitat-de-catalunya-departament-de-la-vicepresidencia-i-de-politiques-digitals-i-territori"/>
    <hyperlink ref="E39" r:id="rId27" display="https://govern.cat/gov/pla-govern?eix=0&amp;ambit=1"/>
    <hyperlink ref="E40" r:id="rId28" display="https://canalempresa.gencat.cat/ca/01_que_voleu_fer/mesuresempresesiautonoms/mesures-economiques-i-socials-per-a-empreses-i-autonoms/ajuts-i-prestacions-per-empreses-i-autonoms/digitalitzacio-i-teletreball-per-a-pimes-i-autonoms/index.html"/>
    <hyperlink ref="E41" r:id="rId29" display="https://fonseuropeus.gencat.cat/ca/ris3cat/2030/index.html"/>
    <hyperlink ref="E23" r:id="rId30" display="Consulta información sobre el GHG Protocol"/>
    <hyperlink ref="E24" r:id="rId31" display="https://canviclimatic.gencat.cat/ca/oficina/index.html"/>
    <hyperlink ref="E56" r:id="rId32" display="https://mediambient.gencat.cat/web/.content/home/ambits_dactuacio/empresa_i_produccio_sostenible/ecoproductes_i_ecoserveis/esdeveniments-sostenibles/GENCAT-ESDEVENIMENTS_V.9-9-acces.pdf"/>
    <hyperlink ref="E53" r:id="rId33"/>
    <hyperlink ref="E54:E55" r:id="rId34" display="Consulteu informació sobre el Distintiu de garantia de qualitat ambiental específic per a edificis d'ús d'oficines"/>
    <hyperlink ref="E54" r:id="rId35"/>
    <hyperlink ref="E55" r:id="rId36" display="Consulteu informació sobre el Distintiu de garantia de qualitat ambiental específic per a edificis d'ús d'oficines"/>
    <hyperlink ref="E29" r:id="rId37"/>
    <hyperlink ref="E31" r:id="rId38"/>
  </hyperlinks>
  <pageMargins left="0.7" right="0.7" top="0.75" bottom="0.75" header="0.3" footer="0.3"/>
  <pageSetup paperSize="9" orientation="portrait" r:id="rId39"/>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tabColor theme="9" tint="0.39997558519241921"/>
  </sheetPr>
  <dimension ref="A1:AN50"/>
  <sheetViews>
    <sheetView showGridLines="0" zoomScale="70" zoomScaleNormal="70" workbookViewId="0">
      <selection activeCell="E1" sqref="E1"/>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102" t="s">
        <v>1493</v>
      </c>
      <c r="E1" s="201" t="s">
        <v>1336</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59" t="s">
        <v>415</v>
      </c>
      <c r="E3" s="159" t="s">
        <v>359</v>
      </c>
      <c r="F3" s="163" t="s">
        <v>357</v>
      </c>
      <c r="G3" s="235" t="s">
        <v>360</v>
      </c>
      <c r="I3" s="135"/>
      <c r="J3" s="153"/>
      <c r="K3" s="153"/>
    </row>
    <row r="4" spans="1:40" ht="150" customHeight="1">
      <c r="B4" s="98" t="s">
        <v>423</v>
      </c>
      <c r="C4" s="266" t="s">
        <v>356</v>
      </c>
      <c r="D4" s="95" t="str">
        <f>HLOOKUP(D3,AUTO!$B$1:$AJ$2,2,FALSE)</f>
        <v xml:space="preserve">Les oportunitats de tecnologies/aplicacions sostenibles són rellevants en aquells sectors on hi ha tecnologies descarbonitzades que poden ajudar l'empresa a assolir els seus objectius de reducció d'emissons. Per exemple, la instal·lació de renovables en el sector d'energia o les aplicacions de tecnologies verdes a la construcció de nous edificis per al sector de l'edificació són oportunitats importants per diferenciar-se de la competència en termes de sostenibilitat. La sostenibilitat planteja moltes oportunitats que asseguren una reducció de les despeses de l'empresa a llarg termini.
</v>
      </c>
      <c r="E4" s="115" t="str">
        <f>HLOOKUP(E3,AUTO!$B$1:$AJ$2,2,FALSE)</f>
        <v>Els impactes físics del canvi climàtic són aquells que experimenta, experimentarà o ja ha experimentat l'empresa vinculats a modificacions en variables climàtiques. Per exemple, la manca d'aigua a causa d'una sequera prolongada, danys provocats per inundacions causades per una tempesta especialment forta, pedregades o els costos en què l'empresa ha d'incórrer per adaptar-se a un clima canviant.</v>
      </c>
      <c r="F4" s="95" t="str">
        <f>HLOOKUP(F3,AUTO!$B$1:$AJ$2,2,FALSE)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G4" s="95" t="str">
        <f>HLOOKUP(G3,AUTO!$B$1:$AJ$2,2,FALSE)</f>
        <v xml:space="preserve">La gestió sostenible de l'aigua tracta d'assegurar que el consum i ús d'aquesta aigua per part de l'empresa estiguin alineats amb la capacitat de recuperar-se de l'ecosistema i no generin impactes negatius. Les necessitats de consumir aigua estan lligades al sector i a la ubicació de la planta. És important destacar que les empreses amb operacions en zones amb estrès hídric caldrà que avaluïn com fer una gestió sostenible dels recursos hídrics. Això inclou reduir el consum d'aigua, millorar la captura i reutilització de les aigües grises i millorar el tractament d'aigües residuals, entre d'altres. </v>
      </c>
      <c r="I4" s="73"/>
      <c r="J4" s="73"/>
      <c r="K4" s="73"/>
    </row>
    <row r="5" spans="1:40" ht="158.5" customHeight="1">
      <c r="B5" s="98" t="s">
        <v>456</v>
      </c>
      <c r="C5" s="267"/>
      <c r="D5" s="120" t="s">
        <v>722</v>
      </c>
      <c r="E5" s="131" t="s">
        <v>1073</v>
      </c>
      <c r="F5" s="120" t="s">
        <v>760</v>
      </c>
      <c r="G5" s="120" t="s">
        <v>1074</v>
      </c>
      <c r="I5" s="136"/>
      <c r="J5" s="136"/>
      <c r="K5" s="179"/>
    </row>
    <row r="6" spans="1:40" ht="50.15" customHeight="1">
      <c r="B6" s="110"/>
      <c r="C6" s="268" t="s">
        <v>369</v>
      </c>
      <c r="D6" s="156" t="s">
        <v>371</v>
      </c>
      <c r="E6" s="108" t="s">
        <v>374</v>
      </c>
      <c r="F6" s="109" t="s">
        <v>373</v>
      </c>
      <c r="G6" s="132" t="s">
        <v>417</v>
      </c>
      <c r="H6" s="134"/>
    </row>
    <row r="7" spans="1:40" ht="150" customHeight="1">
      <c r="B7" s="98" t="s">
        <v>423</v>
      </c>
      <c r="C7" s="266"/>
      <c r="D7" s="115" t="str">
        <f>HLOOKUP(D6,AUTO!$B$1:$AJ$2,2,FALSE)</f>
        <v>El desenvolupament del capital humà pot ser un factor important per a empreses en sectors que requereixen coneixements o habilitats específiques. Les empreses que no inverteixen en el desenvolupament dels seus empleats poden perdre competitivitat en el mercat laboral, la qual cosa pot afectar la seva capacitat d'atreure i mantenir personal capacitat. Per assegurar la sostenibilitat social i econòmica en el futur, l'empresa pot oferir oportunitats de creixement al seu personal. En la mateixa línia, per mantenir una posició competitiva al mercat, les empreses han d'invertir en la formació i educació dels seus empleats.</v>
      </c>
      <c r="E7" s="95" t="str">
        <f>HLOOKUP(E6,AUTO!$B$1:$AJ$2,2,FALSE)</f>
        <v>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v>
      </c>
      <c r="F7" s="95" t="str">
        <f>HLOOKUP(F6,AUTO!$B$1:$AJ$2,2,FALSE)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G7" s="95" t="str">
        <f>HLOOKUP(G6,AUTO!$B$1:$AJ$2,2,FALSE)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H7" s="73"/>
    </row>
    <row r="8" spans="1:40" ht="150" customHeight="1">
      <c r="B8" s="98" t="s">
        <v>456</v>
      </c>
      <c r="C8" s="267"/>
      <c r="D8" s="120" t="s">
        <v>1200</v>
      </c>
      <c r="E8" s="120" t="s">
        <v>1075</v>
      </c>
      <c r="F8" s="120" t="s">
        <v>1076</v>
      </c>
      <c r="G8" s="192" t="s">
        <v>1194</v>
      </c>
      <c r="H8" s="136"/>
    </row>
    <row r="9" spans="1:40" ht="50.15" customHeight="1">
      <c r="B9" s="99"/>
      <c r="C9" s="268" t="s">
        <v>383</v>
      </c>
      <c r="D9" s="106" t="s">
        <v>384</v>
      </c>
      <c r="E9" s="135"/>
      <c r="F9" s="135"/>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73"/>
      <c r="F10" s="73"/>
    </row>
    <row r="11" spans="1:40" ht="150" customHeight="1">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36"/>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556</v>
      </c>
      <c r="O16" s="24"/>
      <c r="Q16"/>
    </row>
    <row r="17" spans="1:17" ht="75" customHeight="1">
      <c r="B17" s="248" t="s">
        <v>1345</v>
      </c>
      <c r="C17" s="256" t="s">
        <v>551</v>
      </c>
      <c r="D17" s="248" t="s">
        <v>557</v>
      </c>
      <c r="E17" s="111" t="s">
        <v>860</v>
      </c>
      <c r="O17" s="24"/>
      <c r="Q17"/>
    </row>
    <row r="18" spans="1:17" ht="75" customHeight="1">
      <c r="B18" s="248"/>
      <c r="C18" s="258"/>
      <c r="D18" s="248"/>
      <c r="E18" s="112" t="s">
        <v>639</v>
      </c>
      <c r="O18" s="24"/>
      <c r="Q18"/>
    </row>
    <row r="19" spans="1:17" ht="50.15" customHeight="1">
      <c r="B19" s="253" t="s">
        <v>560</v>
      </c>
      <c r="C19" s="256" t="s">
        <v>551</v>
      </c>
      <c r="D19" s="253" t="s">
        <v>861</v>
      </c>
      <c r="E19" s="112" t="s">
        <v>561</v>
      </c>
      <c r="P19"/>
      <c r="Q19"/>
    </row>
    <row r="20" spans="1:17" ht="50.15" customHeight="1">
      <c r="B20" s="254"/>
      <c r="C20" s="257"/>
      <c r="D20" s="254"/>
      <c r="E20" s="112" t="s">
        <v>562</v>
      </c>
      <c r="P20"/>
      <c r="Q20"/>
    </row>
    <row r="21" spans="1:17" ht="84.65" customHeight="1">
      <c r="B21" s="255"/>
      <c r="C21" s="258"/>
      <c r="D21" s="255"/>
      <c r="E21" s="112" t="s">
        <v>563</v>
      </c>
      <c r="P21"/>
      <c r="Q21"/>
    </row>
    <row r="22" spans="1:17" ht="180.65" customHeight="1">
      <c r="B22" s="117" t="s">
        <v>1370</v>
      </c>
      <c r="C22" s="118" t="s">
        <v>551</v>
      </c>
      <c r="D22" s="103" t="s">
        <v>1210</v>
      </c>
      <c r="E22" s="174" t="s">
        <v>676</v>
      </c>
      <c r="O22" s="24"/>
      <c r="Q22"/>
    </row>
    <row r="23" spans="1:17" ht="150" customHeight="1">
      <c r="B23" s="117" t="s">
        <v>567</v>
      </c>
      <c r="C23" s="118" t="s">
        <v>551</v>
      </c>
      <c r="D23" s="117" t="s">
        <v>568</v>
      </c>
      <c r="E23" s="112" t="s">
        <v>569</v>
      </c>
      <c r="O23" s="24"/>
      <c r="Q23"/>
    </row>
    <row r="24" spans="1:17" ht="150" customHeight="1">
      <c r="A24" s="78"/>
      <c r="B24" s="117" t="s">
        <v>570</v>
      </c>
      <c r="C24" s="118" t="s">
        <v>551</v>
      </c>
      <c r="D24" s="117" t="s">
        <v>862</v>
      </c>
      <c r="E24" s="112" t="s">
        <v>641</v>
      </c>
      <c r="P24"/>
      <c r="Q24"/>
    </row>
    <row r="25" spans="1:17" ht="150" customHeight="1">
      <c r="A25" s="78"/>
      <c r="B25" s="117" t="s">
        <v>1374</v>
      </c>
      <c r="C25" s="119" t="s">
        <v>1375</v>
      </c>
      <c r="D25" s="117" t="s">
        <v>707</v>
      </c>
      <c r="E25" s="111" t="s">
        <v>574</v>
      </c>
      <c r="G25" s="86"/>
      <c r="H25" s="86"/>
      <c r="I25" s="86"/>
      <c r="J25" s="86"/>
      <c r="K25" s="87"/>
      <c r="L25" s="83"/>
      <c r="M25" s="86"/>
      <c r="N25" s="86"/>
      <c r="O25" s="83"/>
      <c r="P25"/>
      <c r="Q25"/>
    </row>
    <row r="26" spans="1:17" ht="150" customHeight="1">
      <c r="A26" s="78"/>
      <c r="B26" s="117" t="s">
        <v>795</v>
      </c>
      <c r="C26" s="119" t="s">
        <v>551</v>
      </c>
      <c r="D26" s="117" t="s">
        <v>1308</v>
      </c>
      <c r="E26" s="223" t="s">
        <v>1307</v>
      </c>
      <c r="G26" s="86"/>
      <c r="H26" s="86"/>
      <c r="I26" s="86"/>
      <c r="J26" s="86"/>
      <c r="K26" s="87"/>
      <c r="L26" s="83"/>
      <c r="M26" s="86"/>
      <c r="N26" s="86"/>
      <c r="O26" s="83"/>
      <c r="P26"/>
      <c r="Q26"/>
    </row>
    <row r="27" spans="1:17" ht="125" customHeight="1">
      <c r="A27" s="80"/>
      <c r="B27" s="274" t="s">
        <v>1331</v>
      </c>
      <c r="C27" s="256" t="s">
        <v>551</v>
      </c>
      <c r="D27" s="274" t="s">
        <v>1340</v>
      </c>
      <c r="E27" s="174" t="s">
        <v>575</v>
      </c>
      <c r="G27" s="140"/>
      <c r="H27" s="140"/>
      <c r="I27" s="140"/>
      <c r="P27"/>
      <c r="Q27"/>
    </row>
    <row r="28" spans="1:17" ht="125" customHeight="1">
      <c r="A28" s="80"/>
      <c r="B28" s="275"/>
      <c r="C28" s="272"/>
      <c r="D28" s="288"/>
      <c r="E28" s="227" t="s">
        <v>1329</v>
      </c>
      <c r="G28" s="140"/>
      <c r="H28" s="140"/>
      <c r="I28" s="140"/>
      <c r="P28"/>
      <c r="Q28"/>
    </row>
    <row r="29" spans="1:17" ht="92.5" customHeight="1">
      <c r="B29" s="248" t="s">
        <v>1315</v>
      </c>
      <c r="C29" s="259" t="s">
        <v>551</v>
      </c>
      <c r="D29" s="248" t="s">
        <v>1316</v>
      </c>
      <c r="E29" s="174" t="s">
        <v>1297</v>
      </c>
      <c r="P29"/>
      <c r="Q29"/>
    </row>
    <row r="30" spans="1:17" ht="82.5" customHeight="1">
      <c r="B30" s="248"/>
      <c r="C30" s="260"/>
      <c r="D30" s="248"/>
      <c r="E30" s="174" t="s">
        <v>580</v>
      </c>
      <c r="P30"/>
      <c r="Q30"/>
    </row>
    <row r="31" spans="1:17" ht="150" customHeight="1">
      <c r="A31" s="76"/>
      <c r="B31" s="150" t="s">
        <v>1183</v>
      </c>
      <c r="C31" s="161" t="s">
        <v>551</v>
      </c>
      <c r="D31" s="150" t="s">
        <v>1227</v>
      </c>
      <c r="E31" s="221" t="s">
        <v>643</v>
      </c>
      <c r="P31"/>
      <c r="Q31"/>
    </row>
    <row r="32" spans="1:17" ht="150" customHeight="1">
      <c r="A32" s="76"/>
      <c r="B32" s="117" t="s">
        <v>1293</v>
      </c>
      <c r="C32" s="119" t="s">
        <v>551</v>
      </c>
      <c r="D32" s="117" t="s">
        <v>1077</v>
      </c>
      <c r="E32" s="174" t="s">
        <v>1063</v>
      </c>
      <c r="P32"/>
      <c r="Q32"/>
    </row>
    <row r="33" spans="1:17" ht="150" customHeight="1">
      <c r="A33" s="76"/>
      <c r="B33" s="150" t="s">
        <v>768</v>
      </c>
      <c r="C33" s="161" t="s">
        <v>551</v>
      </c>
      <c r="D33" s="150" t="s">
        <v>1252</v>
      </c>
      <c r="E33" s="216" t="s">
        <v>769</v>
      </c>
      <c r="P33"/>
      <c r="Q33"/>
    </row>
    <row r="34" spans="1:17" ht="150" customHeight="1">
      <c r="A34" s="76"/>
      <c r="B34" s="150" t="s">
        <v>585</v>
      </c>
      <c r="C34" s="161" t="s">
        <v>551</v>
      </c>
      <c r="D34" s="150" t="s">
        <v>1229</v>
      </c>
      <c r="E34" s="216" t="s">
        <v>586</v>
      </c>
      <c r="P34"/>
      <c r="Q34"/>
    </row>
    <row r="35" spans="1:17" ht="14.5" customHeight="1">
      <c r="A35" s="76"/>
      <c r="P35"/>
      <c r="Q35"/>
    </row>
    <row r="36" spans="1:17">
      <c r="A36" s="73"/>
      <c r="P36"/>
      <c r="Q36"/>
    </row>
    <row r="37" spans="1:17" ht="30.5" customHeight="1">
      <c r="A37" s="73"/>
      <c r="B37" s="250" t="s">
        <v>1078</v>
      </c>
      <c r="C37" s="251"/>
      <c r="D37" s="251"/>
      <c r="E37" s="252"/>
      <c r="P37"/>
      <c r="Q37"/>
    </row>
    <row r="38" spans="1:17" ht="82" customHeight="1">
      <c r="A38" s="77"/>
      <c r="B38" s="197" t="s">
        <v>464</v>
      </c>
      <c r="C38" s="197" t="s">
        <v>548</v>
      </c>
      <c r="D38" s="197" t="s">
        <v>423</v>
      </c>
      <c r="E38" s="197" t="s">
        <v>634</v>
      </c>
      <c r="P38"/>
      <c r="Q38"/>
    </row>
    <row r="39" spans="1:17" ht="80" customHeight="1">
      <c r="A39" s="76"/>
      <c r="B39" s="253" t="s">
        <v>1456</v>
      </c>
      <c r="C39" s="256" t="s">
        <v>551</v>
      </c>
      <c r="D39" s="303" t="s">
        <v>1457</v>
      </c>
      <c r="E39" s="112" t="s">
        <v>710</v>
      </c>
      <c r="P39"/>
      <c r="Q39"/>
    </row>
    <row r="40" spans="1:17" ht="80" customHeight="1">
      <c r="A40" s="76"/>
      <c r="B40" s="255"/>
      <c r="C40" s="258"/>
      <c r="D40" s="304"/>
      <c r="E40" s="112" t="s">
        <v>711</v>
      </c>
      <c r="P40"/>
      <c r="Q40"/>
    </row>
    <row r="41" spans="1:17" ht="75" customHeight="1">
      <c r="A41" s="76"/>
      <c r="B41" s="253" t="s">
        <v>1458</v>
      </c>
      <c r="C41" s="256" t="s">
        <v>551</v>
      </c>
      <c r="D41" s="303" t="s">
        <v>1459</v>
      </c>
      <c r="E41" s="112" t="s">
        <v>710</v>
      </c>
      <c r="O41" s="24"/>
      <c r="Q41"/>
    </row>
    <row r="42" spans="1:17" ht="75" customHeight="1">
      <c r="A42" s="76"/>
      <c r="B42" s="255"/>
      <c r="C42" s="258"/>
      <c r="D42" s="304"/>
      <c r="E42" s="112" t="s">
        <v>711</v>
      </c>
      <c r="O42" s="24"/>
      <c r="Q42"/>
    </row>
    <row r="43" spans="1:17" ht="125.15" customHeight="1">
      <c r="A43" s="70"/>
      <c r="B43" s="117" t="s">
        <v>1460</v>
      </c>
      <c r="C43" s="118" t="s">
        <v>551</v>
      </c>
      <c r="D43" s="103" t="s">
        <v>1079</v>
      </c>
      <c r="E43" s="112" t="s">
        <v>1080</v>
      </c>
      <c r="O43" s="24"/>
      <c r="Q43"/>
    </row>
    <row r="44" spans="1:17" ht="150" customHeight="1">
      <c r="B44" s="117" t="s">
        <v>1461</v>
      </c>
      <c r="C44" s="118" t="s">
        <v>551</v>
      </c>
      <c r="D44" s="117" t="s">
        <v>1081</v>
      </c>
      <c r="E44" s="112" t="s">
        <v>1082</v>
      </c>
      <c r="O44" s="24"/>
      <c r="Q44"/>
    </row>
    <row r="45" spans="1:17" ht="50.15" customHeight="1">
      <c r="B45" s="248" t="s">
        <v>738</v>
      </c>
      <c r="C45" s="279" t="s">
        <v>736</v>
      </c>
      <c r="D45" s="253" t="s">
        <v>1083</v>
      </c>
      <c r="E45" s="111" t="s">
        <v>1084</v>
      </c>
      <c r="O45" s="24"/>
      <c r="Q45"/>
    </row>
    <row r="46" spans="1:17" ht="50.15" customHeight="1">
      <c r="B46" s="248"/>
      <c r="C46" s="279"/>
      <c r="D46" s="254"/>
      <c r="E46" s="111" t="s">
        <v>1085</v>
      </c>
      <c r="O46" s="24"/>
      <c r="Q46"/>
    </row>
    <row r="47" spans="1:17" ht="50.15" customHeight="1">
      <c r="B47" s="248"/>
      <c r="C47" s="279"/>
      <c r="D47" s="255"/>
      <c r="E47" s="111" t="s">
        <v>1086</v>
      </c>
      <c r="O47" s="24"/>
      <c r="Q47"/>
    </row>
    <row r="48" spans="1:17" ht="150" customHeight="1">
      <c r="B48" s="117" t="s">
        <v>1242</v>
      </c>
      <c r="C48" s="119" t="s">
        <v>551</v>
      </c>
      <c r="D48" s="117" t="s">
        <v>1277</v>
      </c>
      <c r="E48" s="174" t="s">
        <v>749</v>
      </c>
      <c r="P48"/>
      <c r="Q48"/>
    </row>
    <row r="49" spans="2:5" ht="150" customHeight="1">
      <c r="B49" s="103" t="s">
        <v>1087</v>
      </c>
      <c r="C49" s="119" t="s">
        <v>551</v>
      </c>
      <c r="D49" s="103" t="s">
        <v>1088</v>
      </c>
      <c r="E49" s="174" t="s">
        <v>1089</v>
      </c>
    </row>
    <row r="50" spans="2:5" ht="150" customHeight="1">
      <c r="B50" s="103" t="s">
        <v>754</v>
      </c>
      <c r="C50" s="119" t="s">
        <v>551</v>
      </c>
      <c r="D50" s="103" t="s">
        <v>755</v>
      </c>
      <c r="E50" s="174" t="s">
        <v>756</v>
      </c>
    </row>
  </sheetData>
  <mergeCells count="26">
    <mergeCell ref="C41:C42"/>
    <mergeCell ref="D41:D42"/>
    <mergeCell ref="B45:B47"/>
    <mergeCell ref="D45:D47"/>
    <mergeCell ref="C45:C47"/>
    <mergeCell ref="B41:B42"/>
    <mergeCell ref="B39:B40"/>
    <mergeCell ref="C39:C40"/>
    <mergeCell ref="D39:D40"/>
    <mergeCell ref="D17:D18"/>
    <mergeCell ref="C17:C18"/>
    <mergeCell ref="C19:C21"/>
    <mergeCell ref="D19:D21"/>
    <mergeCell ref="B29:B30"/>
    <mergeCell ref="D29:D30"/>
    <mergeCell ref="C29:C30"/>
    <mergeCell ref="C4:C5"/>
    <mergeCell ref="B37:E37"/>
    <mergeCell ref="B13:E13"/>
    <mergeCell ref="B19:B21"/>
    <mergeCell ref="B17:B18"/>
    <mergeCell ref="C6:C8"/>
    <mergeCell ref="C9:C11"/>
    <mergeCell ref="B27:B28"/>
    <mergeCell ref="C27:C28"/>
    <mergeCell ref="D27:D28"/>
  </mergeCells>
  <conditionalFormatting sqref="A31:A37">
    <cfRule type="containsText" dxfId="200" priority="1" operator="containsText" text="No Aplica">
      <formula>NOT(ISERROR(SEARCH("No Aplica",A31)))</formula>
    </cfRule>
    <cfRule type="containsText" dxfId="199" priority="2" operator="containsText" text="Seleccionar">
      <formula>NOT(ISERROR(SEARCH("Seleccionar",A31)))</formula>
    </cfRule>
    <cfRule type="containsText" dxfId="198" priority="3" operator="containsText" text="Parcialmente Cumple">
      <formula>NOT(ISERROR(SEARCH("Parcialmente Cumple",A31)))</formula>
    </cfRule>
    <cfRule type="containsText" dxfId="197" priority="4" operator="containsText" text="No Cumple">
      <formula>NOT(ISERROR(SEARCH("No Cumple",A31)))</formula>
    </cfRule>
    <cfRule type="beginsWith" dxfId="196" priority="5" operator="beginsWith" text="Cumple">
      <formula>LEFT(A31,LEN("Cumple"))="Cumple"</formula>
    </cfRule>
  </conditionalFormatting>
  <conditionalFormatting sqref="C3:C11">
    <cfRule type="containsText" dxfId="195" priority="31" operator="containsText" text="No Aplica">
      <formula>NOT(ISERROR(SEARCH("No Aplica",C3)))</formula>
    </cfRule>
    <cfRule type="containsText" dxfId="194" priority="32" operator="containsText" text="Pendiente">
      <formula>NOT(ISERROR(SEARCH("Pendiente",C3)))</formula>
    </cfRule>
    <cfRule type="containsText" dxfId="193" priority="33" operator="containsText" text="Parcialmente Cumple">
      <formula>NOT(ISERROR(SEARCH("Parcialmente Cumple",C3)))</formula>
    </cfRule>
    <cfRule type="containsText" dxfId="192" priority="34" operator="containsText" text="No Cumple">
      <formula>NOT(ISERROR(SEARCH("No Cumple",C3)))</formula>
    </cfRule>
    <cfRule type="beginsWith" dxfId="191" priority="35" operator="beginsWith" text="Cumple">
      <formula>LEFT(C3,LEN("Cumple"))="Cumple"</formula>
    </cfRule>
  </conditionalFormatting>
  <conditionalFormatting sqref="D14:D19">
    <cfRule type="containsText" dxfId="190" priority="21" operator="containsText" text="No Aplica">
      <formula>NOT(ISERROR(SEARCH("No Aplica",D14)))</formula>
    </cfRule>
    <cfRule type="containsText" dxfId="189" priority="22" operator="containsText" text="Pendiente">
      <formula>NOT(ISERROR(SEARCH("Pendiente",D14)))</formula>
    </cfRule>
    <cfRule type="containsText" dxfId="188" priority="23" operator="containsText" text="Parcialmente Cumple">
      <formula>NOT(ISERROR(SEARCH("Parcialmente Cumple",D14)))</formula>
    </cfRule>
    <cfRule type="containsText" dxfId="187" priority="24" operator="containsText" text="No Cumple">
      <formula>NOT(ISERROR(SEARCH("No Cumple",D14)))</formula>
    </cfRule>
    <cfRule type="beginsWith" dxfId="186" priority="25" operator="beginsWith" text="Cumple">
      <formula>LEFT(D14,LEN("Cumple"))="Cumple"</formula>
    </cfRule>
  </conditionalFormatting>
  <conditionalFormatting sqref="D23:D26">
    <cfRule type="containsText" dxfId="185" priority="51" operator="containsText" text="No Aplica">
      <formula>NOT(ISERROR(SEARCH("No Aplica",D23)))</formula>
    </cfRule>
    <cfRule type="containsText" dxfId="184" priority="52" operator="containsText" text="Pendiente">
      <formula>NOT(ISERROR(SEARCH("Pendiente",D23)))</formula>
    </cfRule>
    <cfRule type="containsText" dxfId="183" priority="53" operator="containsText" text="Parcialmente Cumple">
      <formula>NOT(ISERROR(SEARCH("Parcialmente Cumple",D23)))</formula>
    </cfRule>
    <cfRule type="containsText" dxfId="182" priority="54" operator="containsText" text="No Cumple">
      <formula>NOT(ISERROR(SEARCH("No Cumple",D23)))</formula>
    </cfRule>
    <cfRule type="beginsWith" dxfId="181" priority="55" operator="beginsWith" text="Cumple">
      <formula>LEFT(D23,LEN("Cumple"))="Cumple"</formula>
    </cfRule>
  </conditionalFormatting>
  <conditionalFormatting sqref="D29:D30">
    <cfRule type="containsText" dxfId="180" priority="46" operator="containsText" text="No Aplica">
      <formula>NOT(ISERROR(SEARCH("No Aplica",D29)))</formula>
    </cfRule>
    <cfRule type="containsText" dxfId="179" priority="47" operator="containsText" text="Pendiente">
      <formula>NOT(ISERROR(SEARCH("Pendiente",D29)))</formula>
    </cfRule>
    <cfRule type="containsText" dxfId="178" priority="48" operator="containsText" text="Parcialmente Cumple">
      <formula>NOT(ISERROR(SEARCH("Parcialmente Cumple",D29)))</formula>
    </cfRule>
    <cfRule type="containsText" dxfId="177" priority="49" operator="containsText" text="No Cumple">
      <formula>NOT(ISERROR(SEARCH("No Cumple",D29)))</formula>
    </cfRule>
    <cfRule type="beginsWith" dxfId="176" priority="50" operator="beginsWith" text="Cumple">
      <formula>LEFT(D29,LEN("Cumple"))="Cumple"</formula>
    </cfRule>
  </conditionalFormatting>
  <conditionalFormatting sqref="D38">
    <cfRule type="containsText" dxfId="175" priority="12" operator="containsText" text="Pendiente">
      <formula>NOT(ISERROR(SEARCH("Pendiente",D38)))</formula>
    </cfRule>
    <cfRule type="containsText" dxfId="174" priority="13" operator="containsText" text="Parcialmente Cumple">
      <formula>NOT(ISERROR(SEARCH("Parcialmente Cumple",D38)))</formula>
    </cfRule>
    <cfRule type="containsText" dxfId="173" priority="14" operator="containsText" text="No Cumple">
      <formula>NOT(ISERROR(SEARCH("No Cumple",D38)))</formula>
    </cfRule>
    <cfRule type="beginsWith" dxfId="172" priority="15" operator="beginsWith" text="Cumple">
      <formula>LEFT(D38,LEN("Cumple"))="Cumple"</formula>
    </cfRule>
  </conditionalFormatting>
  <conditionalFormatting sqref="D38:E38">
    <cfRule type="containsText" dxfId="171" priority="11" operator="containsText" text="No Aplica">
      <formula>NOT(ISERROR(SEARCH("No Aplica",D38)))</formula>
    </cfRule>
  </conditionalFormatting>
  <conditionalFormatting sqref="E14">
    <cfRule type="containsText" dxfId="170" priority="26" operator="containsText" text="No Aplica">
      <formula>NOT(ISERROR(SEARCH("No Aplica",E14)))</formula>
    </cfRule>
    <cfRule type="containsText" dxfId="169" priority="27" operator="containsText" text="Seleccionar">
      <formula>NOT(ISERROR(SEARCH("Seleccionar",E14)))</formula>
    </cfRule>
    <cfRule type="containsText" dxfId="168" priority="28" operator="containsText" text="Parcialmente Cumple">
      <formula>NOT(ISERROR(SEARCH("Parcialmente Cumple",E14)))</formula>
    </cfRule>
    <cfRule type="containsText" dxfId="167" priority="29" operator="containsText" text="No Cumple">
      <formula>NOT(ISERROR(SEARCH("No Cumple",E14)))</formula>
    </cfRule>
    <cfRule type="beginsWith" dxfId="166" priority="30" operator="beginsWith" text="Cumple">
      <formula>LEFT(E14,LEN("Cumple"))="Cumple"</formula>
    </cfRule>
  </conditionalFormatting>
  <conditionalFormatting sqref="E38">
    <cfRule type="containsText" dxfId="165" priority="17" operator="containsText" text="Seleccionar">
      <formula>NOT(ISERROR(SEARCH("Seleccionar",E38)))</formula>
    </cfRule>
    <cfRule type="containsText" dxfId="164" priority="18" operator="containsText" text="Parcialmente Cumple">
      <formula>NOT(ISERROR(SEARCH("Parcialmente Cumple",E38)))</formula>
    </cfRule>
    <cfRule type="containsText" dxfId="163" priority="19" operator="containsText" text="No Cumple">
      <formula>NOT(ISERROR(SEARCH("No Cumple",E38)))</formula>
    </cfRule>
    <cfRule type="beginsWith" dxfId="162" priority="20" operator="beginsWith" text="Cumple">
      <formula>LEFT(E38,LEN("Cumple"))="Cumple"</formula>
    </cfRule>
  </conditionalFormatting>
  <conditionalFormatting sqref="E39:E42">
    <cfRule type="containsText" dxfId="161" priority="6" operator="containsText" text="No Aplica">
      <formula>NOT(ISERROR(SEARCH("No Aplica",E39)))</formula>
    </cfRule>
    <cfRule type="containsText" dxfId="160" priority="7" operator="containsText" text="Seleccionar">
      <formula>NOT(ISERROR(SEARCH("Seleccionar",E39)))</formula>
    </cfRule>
    <cfRule type="containsText" dxfId="159" priority="8" operator="containsText" text="Parcialmente Cumple">
      <formula>NOT(ISERROR(SEARCH("Parcialmente Cumple",E39)))</formula>
    </cfRule>
    <cfRule type="containsText" dxfId="158" priority="9" operator="containsText" text="No Cumple">
      <formula>NOT(ISERROR(SEARCH("No Cumple",E39)))</formula>
    </cfRule>
    <cfRule type="beginsWith" dxfId="157" priority="10" operator="beginsWith" text="Cumple">
      <formula>LEFT(E39,LEN("Cumple"))="Cumple"</formula>
    </cfRule>
  </conditionalFormatting>
  <hyperlinks>
    <hyperlink ref="E43" r:id="rId1" display="https://web.gencat.cat/ca/tramits/tramits-temes/Certificacio-eficiencia-energetica-edificis-00002"/>
    <hyperlink ref="E44" r:id="rId2" display="Agenda dels pobles i ciutats Catalunya 2050"/>
    <hyperlink ref="E45" r:id="rId3" location="286-290-wpfd-breeam-es-nueva-construccion" display="BREEAM"/>
    <hyperlink ref="E46" r:id="rId4" display="LEED"/>
    <hyperlink ref="E47" r:id="rId5" display="GBCE.ES"/>
    <hyperlink ref="E16" r:id="rId6" display="Consulta información sobre ISO 9001"/>
    <hyperlink ref="E18" r:id="rId7" display="Consulta información sobre ISO 14001"/>
    <hyperlink ref="E19" r:id="rId8" display="Consulta más información sobre el CSRD"/>
    <hyperlink ref="E20" r:id="rId9" display="Consulta ley 11/2018"/>
    <hyperlink ref="E21" r:id="rId10" display="Consulta más información sobre el marco GRI"/>
    <hyperlink ref="E22" r:id="rId11" display="Consulta información sobre el GHG Protocol"/>
    <hyperlink ref="E25" r:id="rId12" display="Consulta el Real Decreto 901/2020"/>
    <hyperlink ref="E27" r:id="rId13" display="Consulta Ley 7/2022"/>
    <hyperlink ref="E29" r:id="rId14" display="Consulta ISO 20400:2017 sobre adquisición sostenible"/>
    <hyperlink ref="E17" r:id="rId15" display="Consulta informació sobre EMAS"/>
    <hyperlink ref="E30" r:id="rId16" display="Consulta información sobre las ecoetiquetas de la UE"/>
    <hyperlink ref="E23" r:id="rId17" display="https://act.gencat.cat/wp-content/uploads/2019/05/CAT-ACT-POL%C3%8DTICA-DE-PRIVACITAT.pdf"/>
    <hyperlink ref="E41" r:id="rId18" display="https://eur-lex.europa.eu/legal-content/ES/TXT/PDF/?uri=CELEX:32020R0852"/>
    <hyperlink ref="E24" r:id="rId19" display="Consulta un exemple de codi de conducta/ètica de proveïdors"/>
    <hyperlink ref="E15" r:id="rId20" display="Consulta més informació sobre el codi de conducta"/>
    <hyperlink ref="E40" r:id="rId21" display="Consulta els criteris tècnics de selecció per la consideració de quan una activitat econòmica contribueix a la mitigació o a l'adaptació al canvi climàtic"/>
    <hyperlink ref="E42" r:id="rId22" display="Consulta els criteris tècnics de selecció per la consideració de quan una activitat econòmica contribueix a la mitigació o a l'adaptació al canvi climàtic"/>
    <hyperlink ref="E39" r:id="rId23" display="https://eur-lex.europa.eu/legal-content/ES/TXT/PDF/?uri=CELEX:32020R0852"/>
    <hyperlink ref="E31" r:id="rId24" display="https://treball.gencat.cat/ca/ambits/seguretat_i_salut_laboral/ci_/pla-govern/"/>
    <hyperlink ref="E32" r:id="rId25" display="https://serveiocupacio.gencat.cat/ca/soc/qui-som-que-fem/estrategia-ocupacio/estrategia-catalana-ocupacio-qualitat-2022-2027/index.html"/>
    <hyperlink ref="E33" r:id="rId26" display="https://dogc.gencat.cat/ca/document-del-dogc/?documentId=966011"/>
    <hyperlink ref="E34" r:id="rId27" display="https://govern.cat/gov/pla-govern?eix=0&amp;ambit=1"/>
    <hyperlink ref="E48" r:id="rId28" display="Consulta informació sobre el Distintiu de garantia de qualitat ambiental per a primèries matèries i productes d'àrid reciclat"/>
    <hyperlink ref="E49" r:id="rId29" display="https://habitatge.gencat.cat/ca/ambits/pla-territorial-sectorial-dhabitatge/"/>
    <hyperlink ref="E50" r:id="rId30" display="https://habitatge.gencat.cat/ca/ambits/control_qualitat_de_ledificacio/"/>
    <hyperlink ref="E26" r:id="rId31"/>
    <hyperlink ref="E28" r:id="rId32"/>
  </hyperlinks>
  <pageMargins left="0.7" right="0.7" top="0.75" bottom="0.75" header="0.3" footer="0.3"/>
  <pageSetup paperSize="9" orientation="portrait" r:id="rId3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tabColor theme="9" tint="0.39997558519241921"/>
  </sheetPr>
  <dimension ref="A1:AN75"/>
  <sheetViews>
    <sheetView showGridLines="0" zoomScale="70" zoomScaleNormal="70" workbookViewId="0">
      <selection activeCell="D1" sqref="D1"/>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102" t="s">
        <v>1492</v>
      </c>
      <c r="E1" s="239" t="s">
        <v>1090</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J2" s="86"/>
      <c r="K2" s="86"/>
      <c r="L2" s="83"/>
    </row>
    <row r="3" spans="1:40" ht="50.15" customHeight="1">
      <c r="A3" s="80"/>
      <c r="B3" s="79"/>
      <c r="C3" s="89"/>
      <c r="D3" s="155" t="s">
        <v>358</v>
      </c>
      <c r="E3" s="152"/>
      <c r="F3" s="152"/>
      <c r="G3" s="152"/>
      <c r="H3" s="152"/>
      <c r="I3" s="153"/>
      <c r="J3" s="153"/>
      <c r="K3" s="153"/>
    </row>
    <row r="4" spans="1:40" ht="150" customHeight="1">
      <c r="B4" s="98" t="s">
        <v>423</v>
      </c>
      <c r="C4" s="266" t="s">
        <v>356</v>
      </c>
      <c r="D4" s="95" t="str">
        <f>HLOOKUP(D3,AUTO!$B$1:$AJ$2,2,FALSE)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E4" s="73"/>
      <c r="F4" s="73"/>
      <c r="G4" s="73"/>
      <c r="H4" s="73"/>
      <c r="I4" s="73"/>
      <c r="J4" s="73"/>
      <c r="K4" s="73"/>
    </row>
    <row r="5" spans="1:40" ht="150" customHeight="1">
      <c r="B5" s="98" t="s">
        <v>456</v>
      </c>
      <c r="C5" s="267"/>
      <c r="D5" s="120" t="s">
        <v>1091</v>
      </c>
      <c r="E5" s="136"/>
      <c r="F5" s="136"/>
      <c r="G5" s="136"/>
      <c r="H5" s="136"/>
      <c r="I5" s="136"/>
      <c r="J5" s="136"/>
      <c r="K5" s="179"/>
    </row>
    <row r="6" spans="1:40" ht="50.15" customHeight="1">
      <c r="B6" s="110"/>
      <c r="C6" s="268" t="s">
        <v>369</v>
      </c>
      <c r="D6" s="157" t="s">
        <v>373</v>
      </c>
      <c r="E6" s="156" t="s">
        <v>418</v>
      </c>
      <c r="F6" s="156" t="s">
        <v>419</v>
      </c>
      <c r="G6" s="170" t="s">
        <v>372</v>
      </c>
    </row>
    <row r="7" spans="1:40" ht="150" customHeight="1">
      <c r="B7" s="98" t="s">
        <v>423</v>
      </c>
      <c r="C7" s="266"/>
      <c r="D7" s="95" t="str">
        <f>HLOOKUP(D6,AUTO!$B$1:$AJ$2,2,FALSE)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E7" s="95" t="str">
        <f>HLOOKUP(E6,AUTO!$B$1:$AJ$2,2,FALSE)</f>
        <v>És essencial mantenir Bones Pràctiques en la venda i l'etiquetatge de productes per prevenir qualsevol pràctica enganyosa. Les pràctiques enganyoses poden portar els consumidors a triar un producte que no s'ajusti a les seves necessitats o requeriments. Per tant, per garantir Bones Pràctiques en la venda i l'etiquetatge, una empresa ha de gestionar la transparència de la informació relacionada amb els seus productes, operacions i cadenes de valor. A més, és fonamental proporcionar informació precisa i rellevant sobre els productes, sense ocultar desavantatges o altres tipus d'informació d'interès.</v>
      </c>
      <c r="F7" s="95" t="str">
        <f>HLOOKUP(F6,AUTO!$B$1:$AJ$2,2,FALSE)</f>
        <v>El compromís dels empleats i la promoció de la diversitat i inclusió a l'empresa són temes socials de gran rellevància. Aquests aspectes asseguren que la força laboral sigui diversa i que s'ofereixin oportunitats sense discriminació, la qual cosa permet la inclusió de membres de les comunitats locals i els consumidors dels productes de l'empresa. Per fomentar el compromís, la diversitat i la inclusió en l'empresa, és fonamental establir polítiques antidiscriminatòries en el procés de reclutament i promoure una cultura corporativa inclusiva.</v>
      </c>
      <c r="G7" s="95" t="str">
        <f>HLOOKUP(G6,AUTO!$B$1:$AJ$2,2,FALSE)</f>
        <v>La ciberseguretat tracta sobre la seguretat dels sistemes informàtics de les empreses. Aquests sistemes poden contenir informació crucial per a les operacions de l'empresa i/o dels seus clients, per la qual cosa és important comptar amb un bon nivell de protecció. Les empreses poden millorar la seva seguretat si assignen un responsable de ciberseguretat al departament d'IT. Addicionalment, podrien dur a terme proves de seguretat periòdiques i establir protocols per contenir qualsevol risc digital, entre d'altres.</v>
      </c>
    </row>
    <row r="8" spans="1:40" ht="150" customHeight="1">
      <c r="B8" s="98" t="s">
        <v>456</v>
      </c>
      <c r="C8" s="267"/>
      <c r="D8" s="120" t="s">
        <v>826</v>
      </c>
      <c r="E8" s="120" t="s">
        <v>1092</v>
      </c>
      <c r="F8" s="120" t="s">
        <v>1093</v>
      </c>
      <c r="G8" s="120" t="s">
        <v>1094</v>
      </c>
    </row>
    <row r="9" spans="1:40" ht="50.15" customHeight="1">
      <c r="B9" s="99"/>
      <c r="C9" s="268" t="s">
        <v>383</v>
      </c>
      <c r="D9" s="158" t="s">
        <v>384</v>
      </c>
      <c r="E9" s="158" t="s">
        <v>385</v>
      </c>
      <c r="F9" s="238" t="s">
        <v>389</v>
      </c>
      <c r="G9" s="132" t="s">
        <v>417</v>
      </c>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La competència responsable és crucial per combatre els monopolis i el lobbisme en les indústries. El seu objectiu principal és prevenir preus excessius, baixa qualitat en productes i serveis i d'altres irregularitats en el mercat. És essencial que qualsevol col·laboració entre empreses es realitzi de manera responsable i amb el propòsit de millorar els productes i serveis oferts als clients.</v>
      </c>
      <c r="F10" s="95" t="str">
        <f>HLOOKUP(F9,AUTO!$B$1:$AJ$2,2,FALSE)</f>
        <v xml:space="preserve">La resiliència del model de negoci fa referència a la capacitat de l'empresa d'adaptar-se als canvis relacionats amb les transicions ASG (mediambientals, socials i de bon govern). Això inclou la capacitat de mitigar riscos (com els reputacionals, legals i físics) i aprofitar les oportunitats que presenten els possibles nous mercats i productes i la diferenciació basada en la sostenibilitat. Les empreses més resilients compten amb sistemes de gestió de la sostenibilitat que identifiquen, avaluen i responen als riscos i les oportunitats potencials.
</v>
      </c>
      <c r="G10" s="95" t="str">
        <f>HLOOKUP(G9,AUTO!$B$1:$AJ$2,2,FALSE)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row>
    <row r="11" spans="1:40" ht="189.65" customHeight="1">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1095</v>
      </c>
      <c r="F11" s="120" t="s">
        <v>1096</v>
      </c>
      <c r="G11" s="192" t="s">
        <v>1194</v>
      </c>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50" customHeight="1">
      <c r="A15" s="78"/>
      <c r="B15" s="117" t="s">
        <v>550</v>
      </c>
      <c r="C15" s="118" t="s">
        <v>551</v>
      </c>
      <c r="D15" s="117" t="s">
        <v>552</v>
      </c>
      <c r="E15" s="111" t="s">
        <v>553</v>
      </c>
      <c r="O15" s="24"/>
      <c r="Q15"/>
    </row>
    <row r="16" spans="1:40" ht="150" customHeight="1">
      <c r="B16" s="117" t="s">
        <v>1127</v>
      </c>
      <c r="C16" s="118" t="s">
        <v>551</v>
      </c>
      <c r="D16" s="117" t="s">
        <v>555</v>
      </c>
      <c r="E16" s="112" t="s">
        <v>556</v>
      </c>
      <c r="O16" s="24"/>
      <c r="Q16"/>
    </row>
    <row r="17" spans="1:17" ht="75" customHeight="1">
      <c r="B17" s="248" t="s">
        <v>1345</v>
      </c>
      <c r="C17" s="256" t="s">
        <v>551</v>
      </c>
      <c r="D17" s="248" t="s">
        <v>557</v>
      </c>
      <c r="E17" s="111" t="s">
        <v>860</v>
      </c>
      <c r="O17" s="24"/>
      <c r="Q17"/>
    </row>
    <row r="18" spans="1:17" ht="75" customHeight="1">
      <c r="B18" s="248"/>
      <c r="C18" s="258"/>
      <c r="D18" s="248"/>
      <c r="E18" s="112" t="s">
        <v>639</v>
      </c>
      <c r="P18"/>
      <c r="Q18"/>
    </row>
    <row r="19" spans="1:17" ht="60" customHeight="1">
      <c r="B19" s="253" t="s">
        <v>560</v>
      </c>
      <c r="C19" s="256" t="s">
        <v>551</v>
      </c>
      <c r="D19" s="253" t="s">
        <v>861</v>
      </c>
      <c r="E19" s="112" t="s">
        <v>561</v>
      </c>
      <c r="P19"/>
      <c r="Q19"/>
    </row>
    <row r="20" spans="1:17" ht="60" customHeight="1">
      <c r="B20" s="254"/>
      <c r="C20" s="257"/>
      <c r="D20" s="254"/>
      <c r="E20" s="112" t="s">
        <v>562</v>
      </c>
      <c r="P20"/>
      <c r="Q20"/>
    </row>
    <row r="21" spans="1:17" ht="60" customHeight="1">
      <c r="B21" s="255"/>
      <c r="C21" s="258"/>
      <c r="D21" s="255"/>
      <c r="E21" s="112" t="s">
        <v>563</v>
      </c>
      <c r="P21"/>
      <c r="Q21"/>
    </row>
    <row r="22" spans="1:17" ht="183" customHeight="1">
      <c r="B22" s="117" t="s">
        <v>1370</v>
      </c>
      <c r="C22" s="118" t="s">
        <v>551</v>
      </c>
      <c r="D22" s="103" t="s">
        <v>1210</v>
      </c>
      <c r="E22" s="174" t="s">
        <v>676</v>
      </c>
      <c r="P22"/>
      <c r="Q22"/>
    </row>
    <row r="23" spans="1:17" ht="150" customHeight="1">
      <c r="B23" s="117" t="s">
        <v>567</v>
      </c>
      <c r="C23" s="118" t="s">
        <v>551</v>
      </c>
      <c r="D23" s="117" t="s">
        <v>568</v>
      </c>
      <c r="E23" s="112" t="s">
        <v>569</v>
      </c>
      <c r="P23"/>
      <c r="Q23"/>
    </row>
    <row r="24" spans="1:17" ht="150" customHeight="1">
      <c r="A24" s="78"/>
      <c r="B24" s="117" t="s">
        <v>1374</v>
      </c>
      <c r="C24" s="119" t="s">
        <v>1375</v>
      </c>
      <c r="D24" s="117" t="s">
        <v>707</v>
      </c>
      <c r="E24" s="111" t="s">
        <v>574</v>
      </c>
      <c r="G24" s="86"/>
      <c r="H24" s="86"/>
      <c r="I24" s="86"/>
      <c r="J24" s="83"/>
      <c r="P24"/>
      <c r="Q24"/>
    </row>
    <row r="25" spans="1:17" ht="150" customHeight="1">
      <c r="A25" s="78"/>
      <c r="B25" s="117" t="s">
        <v>795</v>
      </c>
      <c r="C25" s="119" t="s">
        <v>551</v>
      </c>
      <c r="D25" s="117" t="s">
        <v>1308</v>
      </c>
      <c r="E25" s="232" t="s">
        <v>1307</v>
      </c>
      <c r="G25" s="86"/>
      <c r="H25" s="86"/>
      <c r="I25" s="86"/>
      <c r="J25" s="83"/>
      <c r="P25"/>
      <c r="Q25"/>
    </row>
    <row r="26" spans="1:17" ht="125" customHeight="1">
      <c r="B26" s="274" t="s">
        <v>1331</v>
      </c>
      <c r="C26" s="256" t="s">
        <v>551</v>
      </c>
      <c r="D26" s="274" t="s">
        <v>1341</v>
      </c>
      <c r="E26" s="174" t="s">
        <v>575</v>
      </c>
      <c r="G26" s="140"/>
      <c r="H26" s="140"/>
      <c r="P26"/>
      <c r="Q26"/>
    </row>
    <row r="27" spans="1:17" ht="125" customHeight="1">
      <c r="B27" s="275"/>
      <c r="C27" s="272"/>
      <c r="D27" s="275"/>
      <c r="E27" s="227" t="s">
        <v>1329</v>
      </c>
      <c r="G27" s="140"/>
      <c r="H27" s="140"/>
      <c r="P27"/>
      <c r="Q27"/>
    </row>
    <row r="28" spans="1:17" ht="150" customHeight="1">
      <c r="B28" s="150" t="s">
        <v>1407</v>
      </c>
      <c r="C28" s="118" t="s">
        <v>551</v>
      </c>
      <c r="D28" s="150" t="s">
        <v>1211</v>
      </c>
      <c r="E28" s="112" t="s">
        <v>581</v>
      </c>
      <c r="P28"/>
      <c r="Q28"/>
    </row>
    <row r="29" spans="1:17" ht="75" customHeight="1">
      <c r="B29" s="248" t="s">
        <v>1315</v>
      </c>
      <c r="C29" s="294" t="s">
        <v>551</v>
      </c>
      <c r="D29" s="248" t="s">
        <v>1300</v>
      </c>
      <c r="E29" s="174" t="s">
        <v>1298</v>
      </c>
      <c r="P29"/>
      <c r="Q29"/>
    </row>
    <row r="30" spans="1:17" ht="75" customHeight="1">
      <c r="B30" s="248"/>
      <c r="C30" s="294"/>
      <c r="D30" s="248"/>
      <c r="E30" s="174" t="s">
        <v>1097</v>
      </c>
      <c r="P30"/>
      <c r="Q30"/>
    </row>
    <row r="31" spans="1:17" ht="150" customHeight="1">
      <c r="A31" s="76"/>
      <c r="B31" s="150" t="s">
        <v>1183</v>
      </c>
      <c r="C31" s="161" t="s">
        <v>551</v>
      </c>
      <c r="D31" s="150" t="s">
        <v>1227</v>
      </c>
      <c r="E31" s="221" t="s">
        <v>643</v>
      </c>
      <c r="P31"/>
      <c r="Q31"/>
    </row>
    <row r="32" spans="1:17" ht="150" customHeight="1">
      <c r="A32" s="76"/>
      <c r="B32" s="150" t="s">
        <v>768</v>
      </c>
      <c r="C32" s="161" t="s">
        <v>551</v>
      </c>
      <c r="D32" s="150" t="s">
        <v>1252</v>
      </c>
      <c r="E32" s="216" t="s">
        <v>769</v>
      </c>
      <c r="P32"/>
      <c r="Q32"/>
    </row>
    <row r="33" spans="1:17" ht="150" customHeight="1">
      <c r="A33" s="76"/>
      <c r="B33" s="150" t="s">
        <v>585</v>
      </c>
      <c r="C33" s="161" t="s">
        <v>551</v>
      </c>
      <c r="D33" s="150" t="s">
        <v>1462</v>
      </c>
      <c r="E33" s="216" t="s">
        <v>586</v>
      </c>
      <c r="P33"/>
      <c r="Q33"/>
    </row>
    <row r="34" spans="1:17" ht="21" customHeight="1">
      <c r="A34" s="76"/>
      <c r="P34"/>
      <c r="Q34"/>
    </row>
    <row r="35" spans="1:17">
      <c r="A35" s="73"/>
      <c r="P35"/>
      <c r="Q35"/>
    </row>
    <row r="36" spans="1:17" ht="82" customHeight="1">
      <c r="A36" s="73"/>
      <c r="B36" s="250" t="s">
        <v>1098</v>
      </c>
      <c r="C36" s="251"/>
      <c r="D36" s="251"/>
      <c r="E36" s="252"/>
      <c r="P36"/>
      <c r="Q36"/>
    </row>
    <row r="37" spans="1:17" ht="77.150000000000006" customHeight="1">
      <c r="A37" s="77"/>
      <c r="B37" s="197" t="s">
        <v>464</v>
      </c>
      <c r="C37" s="197" t="s">
        <v>548</v>
      </c>
      <c r="D37" s="197" t="s">
        <v>423</v>
      </c>
      <c r="E37" s="197" t="s">
        <v>634</v>
      </c>
      <c r="P37"/>
      <c r="Q37"/>
    </row>
    <row r="38" spans="1:17" ht="128.5" customHeight="1">
      <c r="A38" s="76"/>
      <c r="B38" s="117" t="s">
        <v>1463</v>
      </c>
      <c r="C38" s="118" t="s">
        <v>551</v>
      </c>
      <c r="D38" s="117" t="s">
        <v>1464</v>
      </c>
      <c r="E38" s="112" t="s">
        <v>1099</v>
      </c>
      <c r="P38"/>
      <c r="Q38"/>
    </row>
    <row r="39" spans="1:17" ht="183.65" customHeight="1">
      <c r="A39" s="76"/>
      <c r="B39" s="117" t="s">
        <v>1465</v>
      </c>
      <c r="C39" s="118" t="s">
        <v>551</v>
      </c>
      <c r="D39" s="117" t="s">
        <v>1466</v>
      </c>
      <c r="E39" s="112" t="s">
        <v>1100</v>
      </c>
      <c r="P39"/>
      <c r="Q39"/>
    </row>
    <row r="40" spans="1:17" ht="90.65" customHeight="1">
      <c r="B40" s="253" t="s">
        <v>1467</v>
      </c>
      <c r="C40" s="263" t="s">
        <v>551</v>
      </c>
      <c r="D40" s="253" t="s">
        <v>1101</v>
      </c>
      <c r="E40" s="174" t="s">
        <v>1102</v>
      </c>
      <c r="P40"/>
      <c r="Q40"/>
    </row>
    <row r="41" spans="1:17" ht="90.65" customHeight="1">
      <c r="B41" s="255"/>
      <c r="C41" s="265"/>
      <c r="D41" s="255"/>
      <c r="E41" s="112" t="s">
        <v>582</v>
      </c>
      <c r="P41"/>
      <c r="Q41"/>
    </row>
    <row r="42" spans="1:17" ht="108.65" customHeight="1">
      <c r="B42" s="200" t="s">
        <v>1468</v>
      </c>
      <c r="C42" s="202" t="s">
        <v>551</v>
      </c>
      <c r="D42" s="200" t="s">
        <v>1469</v>
      </c>
      <c r="E42" s="204" t="s">
        <v>1103</v>
      </c>
      <c r="P42"/>
      <c r="Q42"/>
    </row>
    <row r="43" spans="1:17" ht="150" customHeight="1">
      <c r="B43" s="103" t="s">
        <v>1422</v>
      </c>
      <c r="C43" s="118" t="s">
        <v>551</v>
      </c>
      <c r="D43" s="117" t="s">
        <v>1104</v>
      </c>
      <c r="E43" s="174" t="s">
        <v>779</v>
      </c>
      <c r="P43"/>
      <c r="Q43"/>
    </row>
    <row r="44" spans="1:17" ht="150" customHeight="1">
      <c r="B44" s="117" t="s">
        <v>1019</v>
      </c>
      <c r="C44" s="118" t="s">
        <v>551</v>
      </c>
      <c r="D44" s="117" t="s">
        <v>1265</v>
      </c>
      <c r="E44" s="174" t="s">
        <v>1020</v>
      </c>
    </row>
    <row r="45" spans="1:17" ht="150" customHeight="1">
      <c r="B45" s="117" t="s">
        <v>1105</v>
      </c>
      <c r="C45" s="118" t="s">
        <v>551</v>
      </c>
      <c r="D45" s="117" t="s">
        <v>1278</v>
      </c>
      <c r="E45" s="174" t="s">
        <v>1106</v>
      </c>
      <c r="P45"/>
      <c r="Q45"/>
    </row>
    <row r="46" spans="1:17" ht="150" customHeight="1">
      <c r="B46" s="117" t="s">
        <v>1191</v>
      </c>
      <c r="C46" s="118" t="s">
        <v>551</v>
      </c>
      <c r="D46" s="117" t="s">
        <v>1225</v>
      </c>
      <c r="E46" s="227" t="s">
        <v>1107</v>
      </c>
      <c r="P46"/>
      <c r="Q46"/>
    </row>
    <row r="47" spans="1:17" ht="150" customHeight="1">
      <c r="B47" s="103" t="s">
        <v>1279</v>
      </c>
      <c r="C47" s="118" t="s">
        <v>551</v>
      </c>
      <c r="D47" s="103" t="s">
        <v>1280</v>
      </c>
      <c r="E47" s="174" t="s">
        <v>1108</v>
      </c>
      <c r="P47"/>
      <c r="Q47"/>
    </row>
    <row r="48" spans="1:17" ht="150" customHeight="1">
      <c r="B48" s="117" t="s">
        <v>1109</v>
      </c>
      <c r="C48" s="118" t="s">
        <v>551</v>
      </c>
      <c r="D48" s="103" t="s">
        <v>1281</v>
      </c>
      <c r="E48" s="174" t="s">
        <v>1110</v>
      </c>
      <c r="P48"/>
      <c r="Q48"/>
    </row>
    <row r="49" spans="16:17">
      <c r="P49"/>
      <c r="Q49"/>
    </row>
    <row r="50" spans="16:17">
      <c r="P50"/>
      <c r="Q50"/>
    </row>
    <row r="51" spans="16:17">
      <c r="P51"/>
      <c r="Q51"/>
    </row>
    <row r="52" spans="16:17">
      <c r="P52"/>
      <c r="Q52"/>
    </row>
    <row r="53" spans="16:17">
      <c r="P53"/>
      <c r="Q53"/>
    </row>
    <row r="54" spans="16:17">
      <c r="P54"/>
      <c r="Q54"/>
    </row>
    <row r="55" spans="16:17">
      <c r="P55"/>
      <c r="Q55"/>
    </row>
    <row r="56" spans="16:17">
      <c r="P56"/>
      <c r="Q56"/>
    </row>
    <row r="57" spans="16:17">
      <c r="P57"/>
      <c r="Q57"/>
    </row>
    <row r="58" spans="16:17">
      <c r="P58"/>
      <c r="Q58"/>
    </row>
    <row r="59" spans="16:17">
      <c r="P59"/>
      <c r="Q59"/>
    </row>
    <row r="60" spans="16:17">
      <c r="P60"/>
      <c r="Q60"/>
    </row>
    <row r="61" spans="16:17">
      <c r="P61"/>
      <c r="Q61"/>
    </row>
    <row r="62" spans="16:17">
      <c r="P62"/>
      <c r="Q62"/>
    </row>
    <row r="63" spans="16:17">
      <c r="P63"/>
      <c r="Q63"/>
    </row>
    <row r="64" spans="16:17">
      <c r="P64"/>
      <c r="Q64"/>
    </row>
    <row r="65" spans="16:17">
      <c r="P65"/>
      <c r="Q65"/>
    </row>
    <row r="66" spans="16:17">
      <c r="P66"/>
      <c r="Q66"/>
    </row>
    <row r="67" spans="16:17">
      <c r="P67"/>
      <c r="Q67"/>
    </row>
    <row r="68" spans="16:17">
      <c r="P68"/>
      <c r="Q68"/>
    </row>
    <row r="69" spans="16:17">
      <c r="P69"/>
      <c r="Q69"/>
    </row>
    <row r="70" spans="16:17">
      <c r="P70"/>
      <c r="Q70"/>
    </row>
    <row r="71" spans="16:17">
      <c r="P71"/>
      <c r="Q71"/>
    </row>
    <row r="72" spans="16:17">
      <c r="P72"/>
      <c r="Q72"/>
    </row>
    <row r="73" spans="16:17">
      <c r="P73"/>
      <c r="Q73"/>
    </row>
    <row r="74" spans="16:17">
      <c r="P74"/>
      <c r="Q74"/>
    </row>
    <row r="75" spans="16:17">
      <c r="P75"/>
      <c r="Q75"/>
    </row>
  </sheetData>
  <mergeCells count="20">
    <mergeCell ref="C29:C30"/>
    <mergeCell ref="B40:B41"/>
    <mergeCell ref="C40:C41"/>
    <mergeCell ref="D40:D41"/>
    <mergeCell ref="C4:C5"/>
    <mergeCell ref="C6:C8"/>
    <mergeCell ref="C9:C11"/>
    <mergeCell ref="B13:E13"/>
    <mergeCell ref="B36:E36"/>
    <mergeCell ref="B17:B18"/>
    <mergeCell ref="D17:D18"/>
    <mergeCell ref="C17:C18"/>
    <mergeCell ref="B19:B21"/>
    <mergeCell ref="C19:C21"/>
    <mergeCell ref="D19:D21"/>
    <mergeCell ref="B29:B30"/>
    <mergeCell ref="B26:B27"/>
    <mergeCell ref="C26:C27"/>
    <mergeCell ref="D26:D27"/>
    <mergeCell ref="D29:D30"/>
  </mergeCells>
  <conditionalFormatting sqref="A31:A36">
    <cfRule type="containsText" dxfId="156" priority="1" operator="containsText" text="No Aplica">
      <formula>NOT(ISERROR(SEARCH("No Aplica",A31)))</formula>
    </cfRule>
    <cfRule type="containsText" dxfId="155" priority="2" operator="containsText" text="Seleccionar">
      <formula>NOT(ISERROR(SEARCH("Seleccionar",A31)))</formula>
    </cfRule>
    <cfRule type="containsText" dxfId="154" priority="3" operator="containsText" text="Parcialmente Cumple">
      <formula>NOT(ISERROR(SEARCH("Parcialmente Cumple",A31)))</formula>
    </cfRule>
    <cfRule type="containsText" dxfId="153" priority="4" operator="containsText" text="No Cumple">
      <formula>NOT(ISERROR(SEARCH("No Cumple",A31)))</formula>
    </cfRule>
    <cfRule type="beginsWith" dxfId="152" priority="5" operator="beginsWith" text="Cumple">
      <formula>LEFT(A31,LEN("Cumple"))="Cumple"</formula>
    </cfRule>
  </conditionalFormatting>
  <conditionalFormatting sqref="C3:C11">
    <cfRule type="containsText" dxfId="151" priority="26" operator="containsText" text="No Aplica">
      <formula>NOT(ISERROR(SEARCH("No Aplica",C3)))</formula>
    </cfRule>
    <cfRule type="containsText" dxfId="150" priority="27" operator="containsText" text="Pendiente">
      <formula>NOT(ISERROR(SEARCH("Pendiente",C3)))</formula>
    </cfRule>
    <cfRule type="containsText" dxfId="149" priority="28" operator="containsText" text="Parcialmente Cumple">
      <formula>NOT(ISERROR(SEARCH("Parcialmente Cumple",C3)))</formula>
    </cfRule>
    <cfRule type="containsText" dxfId="148" priority="29" operator="containsText" text="No Cumple">
      <formula>NOT(ISERROR(SEARCH("No Cumple",C3)))</formula>
    </cfRule>
    <cfRule type="beginsWith" dxfId="147" priority="30" operator="beginsWith" text="Cumple">
      <formula>LEFT(C3,LEN("Cumple"))="Cumple"</formula>
    </cfRule>
  </conditionalFormatting>
  <conditionalFormatting sqref="D14:D19">
    <cfRule type="containsText" dxfId="146" priority="16" operator="containsText" text="No Aplica">
      <formula>NOT(ISERROR(SEARCH("No Aplica",D14)))</formula>
    </cfRule>
    <cfRule type="containsText" dxfId="145" priority="17" operator="containsText" text="Pendiente">
      <formula>NOT(ISERROR(SEARCH("Pendiente",D14)))</formula>
    </cfRule>
    <cfRule type="containsText" dxfId="144" priority="18" operator="containsText" text="Parcialmente Cumple">
      <formula>NOT(ISERROR(SEARCH("Parcialmente Cumple",D14)))</formula>
    </cfRule>
    <cfRule type="containsText" dxfId="143" priority="19" operator="containsText" text="No Cumple">
      <formula>NOT(ISERROR(SEARCH("No Cumple",D14)))</formula>
    </cfRule>
    <cfRule type="beginsWith" dxfId="142" priority="20" operator="beginsWith" text="Cumple">
      <formula>LEFT(D14,LEN("Cumple"))="Cumple"</formula>
    </cfRule>
  </conditionalFormatting>
  <conditionalFormatting sqref="D23:D25">
    <cfRule type="containsText" dxfId="141" priority="36" operator="containsText" text="No Aplica">
      <formula>NOT(ISERROR(SEARCH("No Aplica",D23)))</formula>
    </cfRule>
    <cfRule type="containsText" dxfId="140" priority="37" operator="containsText" text="Pendiente">
      <formula>NOT(ISERROR(SEARCH("Pendiente",D23)))</formula>
    </cfRule>
    <cfRule type="containsText" dxfId="139" priority="38" operator="containsText" text="Parcialmente Cumple">
      <formula>NOT(ISERROR(SEARCH("Parcialmente Cumple",D23)))</formula>
    </cfRule>
    <cfRule type="containsText" dxfId="138" priority="39" operator="containsText" text="No Cumple">
      <formula>NOT(ISERROR(SEARCH("No Cumple",D23)))</formula>
    </cfRule>
    <cfRule type="beginsWith" dxfId="137" priority="40" operator="beginsWith" text="Cumple">
      <formula>LEFT(D23,LEN("Cumple"))="Cumple"</formula>
    </cfRule>
  </conditionalFormatting>
  <conditionalFormatting sqref="D37">
    <cfRule type="containsText" dxfId="136" priority="6" operator="containsText" text="No Aplica">
      <formula>NOT(ISERROR(SEARCH("No Aplica",D37)))</formula>
    </cfRule>
    <cfRule type="containsText" dxfId="135" priority="7" operator="containsText" text="Pendiente">
      <formula>NOT(ISERROR(SEARCH("Pendiente",D37)))</formula>
    </cfRule>
    <cfRule type="containsText" dxfId="134" priority="8" operator="containsText" text="Parcialmente Cumple">
      <formula>NOT(ISERROR(SEARCH("Parcialmente Cumple",D37)))</formula>
    </cfRule>
    <cfRule type="containsText" dxfId="133" priority="9" operator="containsText" text="No Cumple">
      <formula>NOT(ISERROR(SEARCH("No Cumple",D37)))</formula>
    </cfRule>
    <cfRule type="beginsWith" dxfId="132" priority="10" operator="beginsWith" text="Cumple">
      <formula>LEFT(D37,LEN("Cumple"))="Cumple"</formula>
    </cfRule>
  </conditionalFormatting>
  <conditionalFormatting sqref="E14">
    <cfRule type="containsText" dxfId="131" priority="21" operator="containsText" text="No Aplica">
      <formula>NOT(ISERROR(SEARCH("No Aplica",E14)))</formula>
    </cfRule>
    <cfRule type="containsText" dxfId="130" priority="22" operator="containsText" text="Seleccionar">
      <formula>NOT(ISERROR(SEARCH("Seleccionar",E14)))</formula>
    </cfRule>
    <cfRule type="containsText" dxfId="129" priority="23" operator="containsText" text="Parcialmente Cumple">
      <formula>NOT(ISERROR(SEARCH("Parcialmente Cumple",E14)))</formula>
    </cfRule>
    <cfRule type="containsText" dxfId="128" priority="24" operator="containsText" text="No Cumple">
      <formula>NOT(ISERROR(SEARCH("No Cumple",E14)))</formula>
    </cfRule>
    <cfRule type="beginsWith" dxfId="127" priority="25" operator="beginsWith" text="Cumple">
      <formula>LEFT(E14,LEN("Cumple"))="Cumple"</formula>
    </cfRule>
  </conditionalFormatting>
  <conditionalFormatting sqref="E37:E39">
    <cfRule type="containsText" dxfId="126" priority="11" operator="containsText" text="No Aplica">
      <formula>NOT(ISERROR(SEARCH("No Aplica",E37)))</formula>
    </cfRule>
    <cfRule type="containsText" dxfId="125" priority="12" operator="containsText" text="Seleccionar">
      <formula>NOT(ISERROR(SEARCH("Seleccionar",E37)))</formula>
    </cfRule>
    <cfRule type="containsText" dxfId="124" priority="13" operator="containsText" text="Parcialmente Cumple">
      <formula>NOT(ISERROR(SEARCH("Parcialmente Cumple",E37)))</formula>
    </cfRule>
    <cfRule type="containsText" dxfId="123" priority="14" operator="containsText" text="No Cumple">
      <formula>NOT(ISERROR(SEARCH("No Cumple",E37)))</formula>
    </cfRule>
    <cfRule type="beginsWith" dxfId="122" priority="15" operator="beginsWith" text="Cumple">
      <formula>LEFT(E37,LEN("Cumple"))="Cumple"</formula>
    </cfRule>
  </conditionalFormatting>
  <hyperlinks>
    <hyperlink ref="E38" r:id="rId1" display="Consulta directiva 2005/29/EC"/>
    <hyperlink ref="E39" r:id="rId2" display="https://eur-lex.europa.eu/legal-content/ES/TXT/PDF/?uri=CELEX:52023PC0166"/>
    <hyperlink ref="E42" r:id="rId3" display="https://xtec.gencat.cat/ca/curriculum/diversitat-i-inclusio/"/>
    <hyperlink ref="E30" r:id="rId4" display="Consulta información sobre las ecoetiquetas de la UE"/>
    <hyperlink ref="E29" r:id="rId5" display="Consulta ISO 20400:2017 sobre adquisición sostenible"/>
    <hyperlink ref="E40" r:id="rId6" display="https://icaen.gencat.cat/ca/energia/ajuts/energies-renovables/"/>
    <hyperlink ref="E16" r:id="rId7" display="Consulta información sobre ISO 9001"/>
    <hyperlink ref="E18" r:id="rId8" display="Consulta información sobre ISO 14001"/>
    <hyperlink ref="E19" r:id="rId9" display="Consulta más información sobre el CSRD"/>
    <hyperlink ref="E20" r:id="rId10" display="Consulta ley 11/2018"/>
    <hyperlink ref="E21" r:id="rId11" display="Consulta más información sobre el marco GRI"/>
    <hyperlink ref="E22" r:id="rId12" display="Consulta información sobre el GHG Protocol"/>
    <hyperlink ref="E28" r:id="rId13" display="Consulta información sobre la iniciativa Lean and Green"/>
    <hyperlink ref="E24" r:id="rId14" display="Consulta el Real Decreto 901/2020"/>
    <hyperlink ref="E26" r:id="rId15" display="Consulta Ley 7/2022"/>
    <hyperlink ref="E17" r:id="rId16" display="Consulta informació sobre EMAS"/>
    <hyperlink ref="E23" r:id="rId17" display="https://act.gencat.cat/wp-content/uploads/2019/05/CAT-ACT-POL%C3%8DTICA-DE-PRIVACITAT.pdf"/>
    <hyperlink ref="E15" r:id="rId18" display="Consulta més informació sobre el codi de conducta"/>
    <hyperlink ref="E31" r:id="rId19" display="https://treball.gencat.cat/ca/ambits/seguretat_i_salut_laboral/ci_/pla-govern/"/>
    <hyperlink ref="E32" r:id="rId20" display="https://dogc.gencat.cat/ca/document-del-dogc/?documentId=966011"/>
    <hyperlink ref="E33" r:id="rId21" display="https://govern.cat/gov/pla-govern?eix=0&amp;ambit=1"/>
    <hyperlink ref="E45" r:id="rId22" display="https://triaeducativa.gencat.cat/ca/fp/families-professionals/comerc-marqueting/index.html"/>
    <hyperlink ref="E46" r:id="rId23" display="https://dones.gencat.cat/ca/ambits/mitjans-comunicacio/recomanacions-publicitat-igualitaria/"/>
    <hyperlink ref="E47" r:id="rId24"/>
    <hyperlink ref="E48" r:id="rId25" display="https://elhub.cat/"/>
    <hyperlink ref="E43" r:id="rId26" display="Consulta más información sobre el capital humano"/>
    <hyperlink ref="E41" r:id="rId27" display="https://canviclimatic.gencat.cat/ca/oficina/index.html"/>
    <hyperlink ref="E44" r:id="rId28" display="https://mediambient.gencat.cat/web/.content/home/ambits_dactuacio/empresa_i_produccio_sostenible/ecoproductes_i_ecoserveis/esdeveniments-sostenibles/GENCAT-ESDEVENIMENTS_V.9-9-acces.pdf"/>
    <hyperlink ref="E25" r:id="rId29"/>
    <hyperlink ref="E27" r:id="rId30"/>
  </hyperlinks>
  <pageMargins left="0.7" right="0.7" top="0.75" bottom="0.75" header="0.3" footer="0.3"/>
  <pageSetup paperSize="9" orientation="portrait" verticalDpi="0" r:id="rId3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theme="9" tint="0.39997558519241921"/>
  </sheetPr>
  <dimension ref="A1:AN51"/>
  <sheetViews>
    <sheetView showGridLines="0" zoomScale="70" zoomScaleNormal="70" workbookViewId="0">
      <selection activeCell="D1" sqref="D1"/>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310" t="s">
        <v>1111</v>
      </c>
      <c r="E1" s="201" t="s">
        <v>1337</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08" t="s">
        <v>358</v>
      </c>
      <c r="E3" s="134"/>
      <c r="F3" s="134"/>
      <c r="G3" s="134"/>
      <c r="I3" s="135"/>
      <c r="J3" s="153"/>
      <c r="K3" s="153"/>
    </row>
    <row r="4" spans="1:40" ht="150" customHeight="1">
      <c r="B4" s="98" t="s">
        <v>423</v>
      </c>
      <c r="C4" s="266" t="s">
        <v>356</v>
      </c>
      <c r="D4" s="95" t="str">
        <f>HLOOKUP(D3,AUTO!$B$1:$AJ$2,2,FALSE)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E4" s="73"/>
      <c r="F4" s="73"/>
      <c r="G4" s="73"/>
      <c r="I4" s="73"/>
      <c r="J4" s="73"/>
      <c r="K4" s="73"/>
    </row>
    <row r="5" spans="1:40" ht="150" customHeight="1">
      <c r="B5" s="98" t="s">
        <v>456</v>
      </c>
      <c r="C5" s="267"/>
      <c r="D5" s="120" t="s">
        <v>1030</v>
      </c>
      <c r="E5" s="136"/>
      <c r="F5" s="136"/>
      <c r="G5" s="136"/>
      <c r="I5" s="136"/>
      <c r="J5" s="136"/>
    </row>
    <row r="6" spans="1:40" ht="50.15" customHeight="1">
      <c r="B6" s="110"/>
      <c r="C6" s="268" t="s">
        <v>369</v>
      </c>
      <c r="D6" s="106" t="s">
        <v>375</v>
      </c>
      <c r="E6" s="164" t="s">
        <v>373</v>
      </c>
      <c r="F6" s="164" t="s">
        <v>371</v>
      </c>
      <c r="G6" s="108" t="s">
        <v>374</v>
      </c>
      <c r="H6" s="132" t="s">
        <v>417</v>
      </c>
      <c r="I6" s="134"/>
      <c r="J6" s="134"/>
      <c r="K6" s="165"/>
    </row>
    <row r="7" spans="1:40" ht="150" customHeight="1">
      <c r="B7" s="98" t="s">
        <v>423</v>
      </c>
      <c r="C7" s="266"/>
      <c r="D7" s="95" t="str">
        <f>HLOOKUP(D6,AUTO!$B$1:$AJ$2,2,FALSE)</f>
        <v>Alguns productes poden tenir un impacte sobre el benestar a llarg termini dels clients. Això no es refereix a riscos de seguretat immediats, sinó a efectes que es desenvolupen amb el temps. Exemples d'aquests tipus d'impacte inclouen l'ús d'antibiòtics en la producció de carn, efectes negatius sobre la salut causats per aliments amb alt contingut de sal, sucre i greix i l'ús de substàncies que poden tenir efectes perjudicials després de llargs períodes d'exposició. Algunes mesures per protegir el benestar dels clients inclouen la implementació de mètodes de producció segurs i l'adaptació de receptes de productes per reduir la quantitat d'ingredients perjudicials.</v>
      </c>
      <c r="E7" s="95" t="str">
        <f>HLOOKUP(E6,AUTO!$B$1:$AJ$2,2,FALSE)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F7" s="95" t="str">
        <f>HLOOKUP(F6,AUTO!$B$1:$AJ$2,2,FALSE)</f>
        <v>El desenvolupament del capital humà pot ser un factor important per a empreses en sectors que requereixen coneixements o habilitats específiques. Les empreses que no inverteixen en el desenvolupament dels seus empleats poden perdre competitivitat en el mercat laboral, la qual cosa pot afectar la seva capacitat d'atreure i mantenir personal capacitat. Per assegurar la sostenibilitat social i econòmica en el futur, l'empresa pot oferir oportunitats de creixement al seu personal. En la mateixa línia, per mantenir una posició competitiva al mercat, les empreses han d'invertir en la formació i educació dels seus empleats.</v>
      </c>
      <c r="G7" s="95" t="str">
        <f>HLOOKUP(G6,AUTO!$B$1:$AJ$2,2,FALSE)</f>
        <v>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v>
      </c>
      <c r="H7" s="95" t="str">
        <f>HLOOKUP(H6,AUTO!$B$1:$AJ$2,2,FALSE)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I7" s="73"/>
      <c r="J7" s="73"/>
      <c r="K7" s="166"/>
    </row>
    <row r="8" spans="1:40" ht="150" customHeight="1">
      <c r="B8" s="98" t="s">
        <v>456</v>
      </c>
      <c r="C8" s="267"/>
      <c r="D8" s="120" t="s">
        <v>1201</v>
      </c>
      <c r="E8" s="120" t="s">
        <v>1033</v>
      </c>
      <c r="F8" s="120" t="s">
        <v>1195</v>
      </c>
      <c r="G8" s="120" t="s">
        <v>1112</v>
      </c>
      <c r="H8" s="192" t="s">
        <v>1194</v>
      </c>
      <c r="I8" s="136"/>
      <c r="J8" s="136"/>
      <c r="K8" s="167"/>
    </row>
    <row r="9" spans="1:40" ht="50.15" customHeight="1">
      <c r="B9" s="99"/>
      <c r="C9" s="268" t="s">
        <v>383</v>
      </c>
      <c r="D9" s="168" t="s">
        <v>384</v>
      </c>
      <c r="E9" s="134"/>
      <c r="F9" s="134"/>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73"/>
      <c r="F10" s="73"/>
    </row>
    <row r="11" spans="1:40" ht="150" customHeight="1">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36"/>
      <c r="F11" s="136"/>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00" customHeight="1">
      <c r="A15" s="78"/>
      <c r="B15" s="117" t="s">
        <v>550</v>
      </c>
      <c r="C15" s="118" t="s">
        <v>551</v>
      </c>
      <c r="D15" s="117" t="s">
        <v>552</v>
      </c>
      <c r="E15" s="111" t="s">
        <v>553</v>
      </c>
      <c r="O15" s="24"/>
      <c r="Q15"/>
    </row>
    <row r="16" spans="1:40" ht="100" customHeight="1">
      <c r="B16" s="117" t="s">
        <v>1127</v>
      </c>
      <c r="C16" s="118" t="s">
        <v>551</v>
      </c>
      <c r="D16" s="117" t="s">
        <v>555</v>
      </c>
      <c r="E16" s="112" t="s">
        <v>556</v>
      </c>
      <c r="O16" s="24"/>
      <c r="Q16"/>
    </row>
    <row r="17" spans="1:17" ht="100" customHeight="1">
      <c r="B17" s="200" t="s">
        <v>795</v>
      </c>
      <c r="C17" s="219" t="s">
        <v>551</v>
      </c>
      <c r="D17" s="200" t="s">
        <v>1308</v>
      </c>
      <c r="E17" s="223" t="s">
        <v>1307</v>
      </c>
      <c r="O17" s="24"/>
      <c r="Q17"/>
    </row>
    <row r="18" spans="1:17" ht="75" customHeight="1">
      <c r="B18" s="253" t="s">
        <v>1345</v>
      </c>
      <c r="C18" s="256" t="s">
        <v>551</v>
      </c>
      <c r="D18" s="253" t="s">
        <v>557</v>
      </c>
      <c r="E18" s="111" t="s">
        <v>860</v>
      </c>
      <c r="O18" s="24"/>
      <c r="Q18"/>
    </row>
    <row r="19" spans="1:17" ht="75" customHeight="1">
      <c r="B19" s="255"/>
      <c r="C19" s="258"/>
      <c r="D19" s="255"/>
      <c r="E19" s="112" t="s">
        <v>1113</v>
      </c>
      <c r="O19" s="24"/>
      <c r="Q19"/>
    </row>
    <row r="20" spans="1:17" ht="60" customHeight="1">
      <c r="B20" s="253" t="s">
        <v>560</v>
      </c>
      <c r="C20" s="256" t="s">
        <v>551</v>
      </c>
      <c r="D20" s="253" t="s">
        <v>861</v>
      </c>
      <c r="E20" s="112" t="s">
        <v>561</v>
      </c>
      <c r="P20"/>
      <c r="Q20"/>
    </row>
    <row r="21" spans="1:17" ht="60" customHeight="1">
      <c r="B21" s="254"/>
      <c r="C21" s="257"/>
      <c r="D21" s="254"/>
      <c r="E21" s="112" t="s">
        <v>562</v>
      </c>
      <c r="P21"/>
      <c r="Q21"/>
    </row>
    <row r="22" spans="1:17" ht="60" customHeight="1">
      <c r="B22" s="255"/>
      <c r="C22" s="258"/>
      <c r="D22" s="255"/>
      <c r="E22" s="112" t="s">
        <v>563</v>
      </c>
      <c r="P22"/>
      <c r="Q22"/>
    </row>
    <row r="23" spans="1:17" ht="86.5" customHeight="1">
      <c r="B23" s="253" t="s">
        <v>1370</v>
      </c>
      <c r="C23" s="256" t="s">
        <v>551</v>
      </c>
      <c r="D23" s="253" t="s">
        <v>1210</v>
      </c>
      <c r="E23" s="174" t="s">
        <v>676</v>
      </c>
      <c r="O23" s="72"/>
      <c r="P23" s="72"/>
      <c r="Q23"/>
    </row>
    <row r="24" spans="1:17" ht="60" customHeight="1">
      <c r="B24" s="254"/>
      <c r="C24" s="257"/>
      <c r="D24" s="254"/>
      <c r="E24" s="285" t="s">
        <v>582</v>
      </c>
      <c r="P24"/>
      <c r="Q24"/>
    </row>
    <row r="25" spans="1:17" ht="32.5" customHeight="1">
      <c r="B25" s="255"/>
      <c r="C25" s="258"/>
      <c r="D25" s="255"/>
      <c r="E25" s="285"/>
      <c r="P25"/>
      <c r="Q25"/>
    </row>
    <row r="26" spans="1:17" ht="125" customHeight="1">
      <c r="B26" s="253" t="s">
        <v>1331</v>
      </c>
      <c r="C26" s="256" t="s">
        <v>551</v>
      </c>
      <c r="D26" s="253" t="s">
        <v>1341</v>
      </c>
      <c r="E26" s="223" t="s">
        <v>575</v>
      </c>
      <c r="P26"/>
      <c r="Q26"/>
    </row>
    <row r="27" spans="1:17" ht="125" customHeight="1">
      <c r="B27" s="255"/>
      <c r="C27" s="258"/>
      <c r="D27" s="255"/>
      <c r="E27" s="223" t="s">
        <v>1329</v>
      </c>
      <c r="P27"/>
      <c r="Q27"/>
    </row>
    <row r="28" spans="1:17" ht="150" customHeight="1">
      <c r="B28" s="117" t="s">
        <v>567</v>
      </c>
      <c r="C28" s="118" t="s">
        <v>551</v>
      </c>
      <c r="D28" s="117" t="s">
        <v>568</v>
      </c>
      <c r="E28" s="112" t="s">
        <v>569</v>
      </c>
      <c r="P28"/>
      <c r="Q28"/>
    </row>
    <row r="29" spans="1:17" ht="150" customHeight="1">
      <c r="A29" s="78"/>
      <c r="B29" s="117" t="s">
        <v>570</v>
      </c>
      <c r="C29" s="118" t="s">
        <v>551</v>
      </c>
      <c r="D29" s="117" t="s">
        <v>862</v>
      </c>
      <c r="E29" s="112" t="s">
        <v>641</v>
      </c>
      <c r="P29"/>
      <c r="Q29"/>
    </row>
    <row r="30" spans="1:17" ht="150" customHeight="1">
      <c r="A30" s="78"/>
      <c r="B30" s="117" t="s">
        <v>1374</v>
      </c>
      <c r="C30" s="119" t="s">
        <v>1375</v>
      </c>
      <c r="D30" s="117" t="s">
        <v>707</v>
      </c>
      <c r="E30" s="111" t="s">
        <v>574</v>
      </c>
      <c r="G30" s="86"/>
      <c r="H30" s="86"/>
      <c r="I30" s="86"/>
      <c r="J30" s="86"/>
      <c r="K30" s="83"/>
      <c r="L30" s="87"/>
      <c r="M30" s="83"/>
      <c r="N30" s="86"/>
      <c r="O30" s="86"/>
      <c r="P30" s="83"/>
      <c r="Q30"/>
    </row>
    <row r="31" spans="1:17" ht="95.15" customHeight="1">
      <c r="A31" s="78"/>
      <c r="B31" s="248" t="s">
        <v>1315</v>
      </c>
      <c r="C31" s="294" t="s">
        <v>551</v>
      </c>
      <c r="D31" s="248" t="s">
        <v>1114</v>
      </c>
      <c r="E31" s="174" t="s">
        <v>1298</v>
      </c>
      <c r="G31" s="86"/>
      <c r="H31" s="86"/>
      <c r="I31" s="86"/>
      <c r="J31" s="86"/>
      <c r="K31" s="83"/>
      <c r="L31" s="87"/>
      <c r="M31" s="83"/>
      <c r="N31" s="86"/>
      <c r="O31" s="86"/>
      <c r="P31" s="83"/>
      <c r="Q31"/>
    </row>
    <row r="32" spans="1:17" ht="95.15" customHeight="1">
      <c r="A32" s="78"/>
      <c r="B32" s="248"/>
      <c r="C32" s="294"/>
      <c r="D32" s="248"/>
      <c r="E32" s="174" t="s">
        <v>580</v>
      </c>
      <c r="G32" s="86"/>
      <c r="H32" s="86"/>
      <c r="I32" s="86"/>
      <c r="J32" s="86"/>
      <c r="K32" s="83"/>
      <c r="L32" s="87"/>
      <c r="M32" s="83"/>
      <c r="N32" s="86"/>
      <c r="O32" s="86"/>
      <c r="P32" s="83"/>
      <c r="Q32"/>
    </row>
    <row r="33" spans="1:17" ht="150" customHeight="1">
      <c r="A33" s="76"/>
      <c r="B33" s="150" t="s">
        <v>1183</v>
      </c>
      <c r="C33" s="161" t="s">
        <v>551</v>
      </c>
      <c r="D33" s="150" t="s">
        <v>1227</v>
      </c>
      <c r="E33" s="221" t="s">
        <v>643</v>
      </c>
      <c r="P33"/>
      <c r="Q33"/>
    </row>
    <row r="34" spans="1:17" ht="150" customHeight="1">
      <c r="A34" s="76"/>
      <c r="B34" s="150" t="s">
        <v>768</v>
      </c>
      <c r="C34" s="161" t="s">
        <v>551</v>
      </c>
      <c r="D34" s="150" t="s">
        <v>1252</v>
      </c>
      <c r="E34" s="216" t="s">
        <v>769</v>
      </c>
      <c r="P34"/>
      <c r="Q34"/>
    </row>
    <row r="35" spans="1:17" ht="150" customHeight="1">
      <c r="A35" s="76"/>
      <c r="B35" s="117" t="s">
        <v>770</v>
      </c>
      <c r="C35" s="119" t="s">
        <v>551</v>
      </c>
      <c r="D35" s="117" t="s">
        <v>1294</v>
      </c>
      <c r="E35" s="174" t="s">
        <v>771</v>
      </c>
      <c r="P35"/>
      <c r="Q35"/>
    </row>
    <row r="36" spans="1:17" ht="150" customHeight="1">
      <c r="A36" s="76"/>
      <c r="B36" s="150" t="s">
        <v>585</v>
      </c>
      <c r="C36" s="161" t="s">
        <v>551</v>
      </c>
      <c r="D36" s="150" t="s">
        <v>1229</v>
      </c>
      <c r="E36" s="216" t="s">
        <v>586</v>
      </c>
      <c r="P36"/>
      <c r="Q36"/>
    </row>
    <row r="37" spans="1:17" ht="150" customHeight="1">
      <c r="A37" s="73"/>
      <c r="B37" s="117" t="s">
        <v>587</v>
      </c>
      <c r="C37" s="119" t="s">
        <v>551</v>
      </c>
      <c r="D37" s="117" t="s">
        <v>1282</v>
      </c>
      <c r="E37" s="174" t="s">
        <v>588</v>
      </c>
      <c r="P37"/>
      <c r="Q37"/>
    </row>
    <row r="38" spans="1:17" ht="150" customHeight="1">
      <c r="B38" s="150" t="s">
        <v>1255</v>
      </c>
      <c r="C38" s="161" t="s">
        <v>551</v>
      </c>
      <c r="D38" s="150" t="s">
        <v>1256</v>
      </c>
      <c r="E38" s="216" t="s">
        <v>775</v>
      </c>
      <c r="O38" s="24"/>
      <c r="Q38"/>
    </row>
    <row r="39" spans="1:17">
      <c r="A39" s="76"/>
      <c r="P39"/>
      <c r="Q39"/>
    </row>
    <row r="40" spans="1:17" ht="13" customHeight="1">
      <c r="A40" s="73"/>
      <c r="P40"/>
      <c r="Q40"/>
    </row>
    <row r="41" spans="1:17" ht="50.15" customHeight="1">
      <c r="A41" s="73"/>
      <c r="B41" s="250" t="s">
        <v>1115</v>
      </c>
      <c r="C41" s="251"/>
      <c r="D41" s="251"/>
      <c r="E41" s="252"/>
      <c r="P41"/>
      <c r="Q41"/>
    </row>
    <row r="42" spans="1:17" ht="50.15" customHeight="1">
      <c r="A42" s="77"/>
      <c r="B42" s="197" t="s">
        <v>464</v>
      </c>
      <c r="C42" s="197" t="s">
        <v>548</v>
      </c>
      <c r="D42" s="197" t="s">
        <v>423</v>
      </c>
      <c r="E42" s="197" t="s">
        <v>634</v>
      </c>
      <c r="P42"/>
      <c r="Q42"/>
    </row>
    <row r="43" spans="1:17" ht="170.15" customHeight="1">
      <c r="A43" s="76"/>
      <c r="B43" s="103" t="s">
        <v>1428</v>
      </c>
      <c r="C43" s="118" t="s">
        <v>551</v>
      </c>
      <c r="D43" s="103" t="s">
        <v>1116</v>
      </c>
      <c r="E43" s="174" t="s">
        <v>810</v>
      </c>
      <c r="P43"/>
      <c r="Q43"/>
    </row>
    <row r="44" spans="1:17" ht="173.15" customHeight="1">
      <c r="A44" s="70"/>
      <c r="B44" s="103" t="s">
        <v>1470</v>
      </c>
      <c r="C44" s="118" t="s">
        <v>551</v>
      </c>
      <c r="D44" s="103" t="s">
        <v>1117</v>
      </c>
      <c r="E44" s="174" t="s">
        <v>1118</v>
      </c>
      <c r="P44"/>
      <c r="Q44"/>
    </row>
    <row r="45" spans="1:17" ht="120" customHeight="1">
      <c r="B45" s="248" t="s">
        <v>1450</v>
      </c>
      <c r="C45" s="294" t="s">
        <v>551</v>
      </c>
      <c r="D45" s="248" t="s">
        <v>1119</v>
      </c>
      <c r="E45" s="112" t="s">
        <v>1103</v>
      </c>
      <c r="P45"/>
      <c r="Q45"/>
    </row>
    <row r="46" spans="1:17" ht="120" customHeight="1">
      <c r="B46" s="248"/>
      <c r="C46" s="294"/>
      <c r="D46" s="248"/>
      <c r="E46" s="174" t="s">
        <v>1048</v>
      </c>
      <c r="P46"/>
      <c r="Q46"/>
    </row>
    <row r="47" spans="1:17" ht="150" customHeight="1">
      <c r="B47" s="117" t="s">
        <v>1471</v>
      </c>
      <c r="C47" s="118" t="s">
        <v>551</v>
      </c>
      <c r="D47" s="117" t="s">
        <v>1283</v>
      </c>
      <c r="E47" s="174" t="s">
        <v>1120</v>
      </c>
      <c r="P47"/>
      <c r="Q47"/>
    </row>
    <row r="48" spans="1:17" ht="150" customHeight="1">
      <c r="A48" s="76"/>
      <c r="B48" s="117" t="s">
        <v>1182</v>
      </c>
      <c r="C48" s="119" t="s">
        <v>551</v>
      </c>
      <c r="D48" s="117" t="s">
        <v>1284</v>
      </c>
      <c r="E48" s="174" t="s">
        <v>1063</v>
      </c>
      <c r="P48"/>
      <c r="Q48"/>
    </row>
    <row r="49" spans="16:17" ht="92.5" customHeight="1">
      <c r="P49"/>
      <c r="Q49"/>
    </row>
    <row r="50" spans="16:17" ht="82.5" customHeight="1">
      <c r="P50"/>
      <c r="Q50"/>
    </row>
    <row r="51" spans="16:17">
      <c r="P51"/>
      <c r="Q51"/>
    </row>
  </sheetData>
  <mergeCells count="24">
    <mergeCell ref="C45:C46"/>
    <mergeCell ref="D18:D19"/>
    <mergeCell ref="C18:C19"/>
    <mergeCell ref="B41:E41"/>
    <mergeCell ref="B20:B22"/>
    <mergeCell ref="C20:C22"/>
    <mergeCell ref="D20:D22"/>
    <mergeCell ref="B18:B19"/>
    <mergeCell ref="B31:B32"/>
    <mergeCell ref="B45:B46"/>
    <mergeCell ref="D45:D46"/>
    <mergeCell ref="B23:B25"/>
    <mergeCell ref="C23:C25"/>
    <mergeCell ref="D23:D25"/>
    <mergeCell ref="E24:E25"/>
    <mergeCell ref="C4:C5"/>
    <mergeCell ref="C6:C8"/>
    <mergeCell ref="C9:C11"/>
    <mergeCell ref="B13:E13"/>
    <mergeCell ref="D31:D32"/>
    <mergeCell ref="C31:C32"/>
    <mergeCell ref="D26:D27"/>
    <mergeCell ref="C26:C27"/>
    <mergeCell ref="B26:B27"/>
  </mergeCells>
  <conditionalFormatting sqref="A33:A37">
    <cfRule type="containsText" dxfId="121" priority="6" operator="containsText" text="No Aplica">
      <formula>NOT(ISERROR(SEARCH("No Aplica",A33)))</formula>
    </cfRule>
    <cfRule type="containsText" dxfId="120" priority="7" operator="containsText" text="Seleccionar">
      <formula>NOT(ISERROR(SEARCH("Seleccionar",A33)))</formula>
    </cfRule>
    <cfRule type="containsText" dxfId="119" priority="8" operator="containsText" text="Parcialmente Cumple">
      <formula>NOT(ISERROR(SEARCH("Parcialmente Cumple",A33)))</formula>
    </cfRule>
    <cfRule type="containsText" dxfId="118" priority="9" operator="containsText" text="No Cumple">
      <formula>NOT(ISERROR(SEARCH("No Cumple",A33)))</formula>
    </cfRule>
    <cfRule type="beginsWith" dxfId="117" priority="10" operator="beginsWith" text="Cumple">
      <formula>LEFT(A33,LEN("Cumple"))="Cumple"</formula>
    </cfRule>
  </conditionalFormatting>
  <conditionalFormatting sqref="A39:A41">
    <cfRule type="containsText" dxfId="116" priority="171" operator="containsText" text="No Aplica">
      <formula>NOT(ISERROR(SEARCH("No Aplica",A39)))</formula>
    </cfRule>
    <cfRule type="containsText" dxfId="115" priority="172" operator="containsText" text="Seleccionar">
      <formula>NOT(ISERROR(SEARCH("Seleccionar",A39)))</formula>
    </cfRule>
    <cfRule type="containsText" dxfId="114" priority="173" operator="containsText" text="Parcialmente Cumple">
      <formula>NOT(ISERROR(SEARCH("Parcialmente Cumple",A39)))</formula>
    </cfRule>
    <cfRule type="containsText" dxfId="113" priority="174" operator="containsText" text="No Cumple">
      <formula>NOT(ISERROR(SEARCH("No Cumple",A39)))</formula>
    </cfRule>
    <cfRule type="beginsWith" dxfId="112" priority="175" operator="beginsWith" text="Cumple">
      <formula>LEFT(A39,LEN("Cumple"))="Cumple"</formula>
    </cfRule>
  </conditionalFormatting>
  <conditionalFormatting sqref="A48">
    <cfRule type="containsText" dxfId="111" priority="1" operator="containsText" text="No Aplica">
      <formula>NOT(ISERROR(SEARCH("No Aplica",A48)))</formula>
    </cfRule>
    <cfRule type="containsText" dxfId="110" priority="2" operator="containsText" text="Seleccionar">
      <formula>NOT(ISERROR(SEARCH("Seleccionar",A48)))</formula>
    </cfRule>
    <cfRule type="containsText" dxfId="109" priority="3" operator="containsText" text="Parcialmente Cumple">
      <formula>NOT(ISERROR(SEARCH("Parcialmente Cumple",A48)))</formula>
    </cfRule>
    <cfRule type="containsText" dxfId="108" priority="4" operator="containsText" text="No Cumple">
      <formula>NOT(ISERROR(SEARCH("No Cumple",A48)))</formula>
    </cfRule>
    <cfRule type="beginsWith" dxfId="107" priority="5" operator="beginsWith" text="Cumple">
      <formula>LEFT(A48,LEN("Cumple"))="Cumple"</formula>
    </cfRule>
  </conditionalFormatting>
  <conditionalFormatting sqref="C3:C11">
    <cfRule type="containsText" dxfId="106" priority="66" operator="containsText" text="No Aplica">
      <formula>NOT(ISERROR(SEARCH("No Aplica",C3)))</formula>
    </cfRule>
    <cfRule type="containsText" dxfId="105" priority="67" operator="containsText" text="Pendiente">
      <formula>NOT(ISERROR(SEARCH("Pendiente",C3)))</formula>
    </cfRule>
    <cfRule type="containsText" dxfId="104" priority="68" operator="containsText" text="Parcialmente Cumple">
      <formula>NOT(ISERROR(SEARCH("Parcialmente Cumple",C3)))</formula>
    </cfRule>
    <cfRule type="containsText" dxfId="103" priority="69" operator="containsText" text="No Cumple">
      <formula>NOT(ISERROR(SEARCH("No Cumple",C3)))</formula>
    </cfRule>
    <cfRule type="beginsWith" dxfId="102" priority="70" operator="beginsWith" text="Cumple">
      <formula>LEFT(C3,LEN("Cumple"))="Cumple"</formula>
    </cfRule>
  </conditionalFormatting>
  <conditionalFormatting sqref="D14:D20">
    <cfRule type="containsText" dxfId="101" priority="21" operator="containsText" text="No Aplica">
      <formula>NOT(ISERROR(SEARCH("No Aplica",D14)))</formula>
    </cfRule>
    <cfRule type="containsText" dxfId="100" priority="22" operator="containsText" text="Pendiente">
      <formula>NOT(ISERROR(SEARCH("Pendiente",D14)))</formula>
    </cfRule>
    <cfRule type="containsText" dxfId="99" priority="23" operator="containsText" text="Parcialmente Cumple">
      <formula>NOT(ISERROR(SEARCH("Parcialmente Cumple",D14)))</formula>
    </cfRule>
    <cfRule type="containsText" dxfId="98" priority="24" operator="containsText" text="No Cumple">
      <formula>NOT(ISERROR(SEARCH("No Cumple",D14)))</formula>
    </cfRule>
    <cfRule type="beginsWith" dxfId="97" priority="25" operator="beginsWith" text="Cumple">
      <formula>LEFT(D14,LEN("Cumple"))="Cumple"</formula>
    </cfRule>
  </conditionalFormatting>
  <conditionalFormatting sqref="D28:D30">
    <cfRule type="containsText" dxfId="96" priority="36" operator="containsText" text="No Aplica">
      <formula>NOT(ISERROR(SEARCH("No Aplica",D28)))</formula>
    </cfRule>
    <cfRule type="containsText" dxfId="95" priority="37" operator="containsText" text="Pendiente">
      <formula>NOT(ISERROR(SEARCH("Pendiente",D28)))</formula>
    </cfRule>
    <cfRule type="containsText" dxfId="94" priority="38" operator="containsText" text="Parcialmente Cumple">
      <formula>NOT(ISERROR(SEARCH("Parcialmente Cumple",D28)))</formula>
    </cfRule>
    <cfRule type="containsText" dxfId="93" priority="39" operator="containsText" text="No Cumple">
      <formula>NOT(ISERROR(SEARCH("No Cumple",D28)))</formula>
    </cfRule>
    <cfRule type="beginsWith" dxfId="92" priority="40" operator="beginsWith" text="Cumple">
      <formula>LEFT(D28,LEN("Cumple"))="Cumple"</formula>
    </cfRule>
  </conditionalFormatting>
  <conditionalFormatting sqref="D42">
    <cfRule type="containsText" dxfId="91" priority="12" operator="containsText" text="Pendiente">
      <formula>NOT(ISERROR(SEARCH("Pendiente",D42)))</formula>
    </cfRule>
    <cfRule type="containsText" dxfId="90" priority="13" operator="containsText" text="Parcialmente Cumple">
      <formula>NOT(ISERROR(SEARCH("Parcialmente Cumple",D42)))</formula>
    </cfRule>
    <cfRule type="containsText" dxfId="89" priority="14" operator="containsText" text="No Cumple">
      <formula>NOT(ISERROR(SEARCH("No Cumple",D42)))</formula>
    </cfRule>
    <cfRule type="beginsWith" dxfId="88" priority="15" operator="beginsWith" text="Cumple">
      <formula>LEFT(D42,LEN("Cumple"))="Cumple"</formula>
    </cfRule>
  </conditionalFormatting>
  <conditionalFormatting sqref="D42:E42">
    <cfRule type="containsText" dxfId="87" priority="11" operator="containsText" text="No Aplica">
      <formula>NOT(ISERROR(SEARCH("No Aplica",D42)))</formula>
    </cfRule>
  </conditionalFormatting>
  <conditionalFormatting sqref="E14">
    <cfRule type="containsText" dxfId="86" priority="26" operator="containsText" text="No Aplica">
      <formula>NOT(ISERROR(SEARCH("No Aplica",E14)))</formula>
    </cfRule>
    <cfRule type="containsText" dxfId="85" priority="27" operator="containsText" text="Seleccionar">
      <formula>NOT(ISERROR(SEARCH("Seleccionar",E14)))</formula>
    </cfRule>
    <cfRule type="containsText" dxfId="84" priority="28" operator="containsText" text="Parcialmente Cumple">
      <formula>NOT(ISERROR(SEARCH("Parcialmente Cumple",E14)))</formula>
    </cfRule>
    <cfRule type="containsText" dxfId="83" priority="29" operator="containsText" text="No Cumple">
      <formula>NOT(ISERROR(SEARCH("No Cumple",E14)))</formula>
    </cfRule>
    <cfRule type="beginsWith" dxfId="82" priority="30" operator="beginsWith" text="Cumple">
      <formula>LEFT(E14,LEN("Cumple"))="Cumple"</formula>
    </cfRule>
  </conditionalFormatting>
  <conditionalFormatting sqref="E42">
    <cfRule type="containsText" dxfId="81" priority="17" operator="containsText" text="Seleccionar">
      <formula>NOT(ISERROR(SEARCH("Seleccionar",E42)))</formula>
    </cfRule>
    <cfRule type="containsText" dxfId="80" priority="18" operator="containsText" text="Parcialmente Cumple">
      <formula>NOT(ISERROR(SEARCH("Parcialmente Cumple",E42)))</formula>
    </cfRule>
    <cfRule type="containsText" dxfId="79" priority="19" operator="containsText" text="No Cumple">
      <formula>NOT(ISERROR(SEARCH("No Cumple",E42)))</formula>
    </cfRule>
    <cfRule type="beginsWith" dxfId="78" priority="20" operator="beginsWith" text="Cumple">
      <formula>LEFT(E42,LEN("Cumple"))="Cumple"</formula>
    </cfRule>
  </conditionalFormatting>
  <hyperlinks>
    <hyperlink ref="E44" r:id="rId1" display="Accede al buscador de cursos, especialidades y centros de formación - SOC"/>
    <hyperlink ref="E46" r:id="rId2" display="Consulta ISO 30415:2021"/>
    <hyperlink ref="E32" r:id="rId3" display="Consulta información sobre las ecoetiquetas de la UE"/>
    <hyperlink ref="E31" r:id="rId4" display="Consulta ISO 20400:2017 sobre adquisición sostenible"/>
    <hyperlink ref="E43" r:id="rId5" display="Consulta el GDPR"/>
    <hyperlink ref="E16" r:id="rId6" display="Consulta información sobre ISO 9001"/>
    <hyperlink ref="E19" r:id="rId7" display="Consulta información sobre ISO 14001"/>
    <hyperlink ref="E20" r:id="rId8" display="Consulta más información sobre el CSRD"/>
    <hyperlink ref="E21" r:id="rId9" display="Consulta ley 11/2018"/>
    <hyperlink ref="E22" r:id="rId10" display="Consulta más información sobre el marco GRI"/>
    <hyperlink ref="E30" r:id="rId11" display="Consulta el Real Decreto 901/2020"/>
    <hyperlink ref="E18" r:id="rId12" display="Consulta informació sobre EMAS"/>
    <hyperlink ref="E28" r:id="rId13" display="https://act.gencat.cat/wp-content/uploads/2019/05/CAT-ACT-POL%C3%8DTICA-DE-PRIVACITAT.pdf"/>
    <hyperlink ref="E29" r:id="rId14" display="Consulta un exemple de codi de conducta/ètica de proveïdors"/>
    <hyperlink ref="E15" r:id="rId15" display="Consulta més informació sobre el codi de conducta"/>
    <hyperlink ref="E45" r:id="rId16" display="https://xtec.gencat.cat/ca/curriculum/diversitat-i-inclusio/"/>
    <hyperlink ref="E33" r:id="rId17" display="https://treball.gencat.cat/ca/ambits/seguretat_i_salut_laboral/ci_/pla-govern/"/>
    <hyperlink ref="E34" r:id="rId18" display="https://dogc.gencat.cat/ca/document-del-dogc/?documentId=966011"/>
    <hyperlink ref="E35" r:id="rId19" display="https://serveiocupacio.gencat.cat/ca/soc/qui-som-que-fem/fons-social-europeu/programes-operatius-2021-2027/Programa-FSE-Catalunya-2021-2027/index.html"/>
    <hyperlink ref="E36" r:id="rId20" display="https://govern.cat/gov/pla-govern?eix=0&amp;ambit=1"/>
    <hyperlink ref="E38" r:id="rId21" display="https://canalempresa.gencat.cat/ca/01_que_voleu_fer/mesuresempresesiautonoms/mesures-economiques-i-socials-per-a-empreses-i-autonoms/ajuts-i-prestacions-per-empreses-i-autonoms/digitalitzacio-i-teletreball-per-a-pimes-i-autonoms/index.html"/>
    <hyperlink ref="E47" r:id="rId22" display="https://serveiocupacio.gencat.cat/ca/soc/qui-som-que-fem/estrategia-ocupacio/pla-desenvolupament-politiques-ocupacio-catalunya-pdpo/index.html"/>
    <hyperlink ref="E48" r:id="rId23" display="https://serveiocupacio.gencat.cat/ca/soc/qui-som-que-fem/estrategia-ocupacio/estrategia-catalana-ocupacio-qualitat-2022-2027/index.html"/>
    <hyperlink ref="E23" r:id="rId24" display="Consulta información sobre el GHG Protocol"/>
    <hyperlink ref="E24" r:id="rId25" display="https://canviclimatic.gencat.cat/ca/oficina/index.html"/>
    <hyperlink ref="E37" r:id="rId26" display="https://governobert.gencat.cat/ca/detalls/noticia/guia_plansinterdepartamentals"/>
    <hyperlink ref="E17" r:id="rId27"/>
    <hyperlink ref="E26" r:id="rId28"/>
    <hyperlink ref="E27" r:id="rId29"/>
  </hyperlinks>
  <pageMargins left="0.7" right="0.7" top="0.75" bottom="0.75" header="0.3" footer="0.3"/>
  <pageSetup paperSize="9" orientation="portrait" verticalDpi="0" r:id="rId3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tabColor theme="9" tint="0.39997558519241921"/>
  </sheetPr>
  <dimension ref="A1:AN49"/>
  <sheetViews>
    <sheetView showGridLines="0" zoomScale="70" zoomScaleNormal="70" workbookViewId="0">
      <selection activeCell="E1" sqref="E1"/>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102" t="s">
        <v>1491</v>
      </c>
      <c r="E1" s="239" t="s">
        <v>1121</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08" t="s">
        <v>358</v>
      </c>
      <c r="E3" s="113"/>
      <c r="F3" s="134"/>
      <c r="G3" s="134"/>
      <c r="I3" s="135"/>
      <c r="J3" s="153"/>
      <c r="K3" s="153"/>
    </row>
    <row r="4" spans="1:40" ht="150" customHeight="1">
      <c r="B4" s="98" t="s">
        <v>423</v>
      </c>
      <c r="C4" s="266" t="s">
        <v>356</v>
      </c>
      <c r="D4" s="95" t="str">
        <f>HLOOKUP(D3,AUTO!$B$1:$AJ$2,2,FALSE)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E4" s="73"/>
      <c r="F4" s="73"/>
      <c r="G4" s="73"/>
      <c r="I4" s="73"/>
      <c r="J4" s="73"/>
      <c r="K4" s="73"/>
    </row>
    <row r="5" spans="1:40" ht="150" customHeight="1">
      <c r="B5" s="98" t="s">
        <v>456</v>
      </c>
      <c r="C5" s="267"/>
      <c r="D5" s="120" t="s">
        <v>1091</v>
      </c>
      <c r="E5" s="136"/>
      <c r="F5" s="136"/>
      <c r="G5" s="136"/>
      <c r="I5" s="136"/>
      <c r="J5" s="136"/>
    </row>
    <row r="6" spans="1:40" ht="50.15" customHeight="1">
      <c r="B6" s="110"/>
      <c r="C6" s="268" t="s">
        <v>369</v>
      </c>
      <c r="D6" s="156" t="s">
        <v>373</v>
      </c>
      <c r="E6" s="164" t="s">
        <v>371</v>
      </c>
      <c r="F6" s="164" t="s">
        <v>375</v>
      </c>
      <c r="G6" s="108" t="s">
        <v>421</v>
      </c>
      <c r="H6" s="109" t="s">
        <v>419</v>
      </c>
      <c r="I6" s="109" t="s">
        <v>418</v>
      </c>
      <c r="J6" s="147" t="s">
        <v>417</v>
      </c>
    </row>
    <row r="7" spans="1:40" ht="150" customHeight="1">
      <c r="B7" s="98" t="s">
        <v>423</v>
      </c>
      <c r="C7" s="266"/>
      <c r="D7" s="115" t="str">
        <f>HLOOKUP(D6,AUTO!$B$1:$AJ$2,2,FALSE)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E7" s="95" t="str">
        <f>HLOOKUP(E6,AUTO!$B$1:$AJ$2,2,FALSE)</f>
        <v>El desenvolupament del capital humà pot ser un factor important per a empreses en sectors que requereixen coneixements o habilitats específiques. Les empreses que no inverteixen en el desenvolupament dels seus empleats poden perdre competitivitat en el mercat laboral, la qual cosa pot afectar la seva capacitat d'atreure i mantenir personal capacitat. Per assegurar la sostenibilitat social i econòmica en el futur, l'empresa pot oferir oportunitats de creixement al seu personal. En la mateixa línia, per mantenir una posició competitiva al mercat, les empreses han d'invertir en la formació i educació dels seus empleats.</v>
      </c>
      <c r="F7" s="95" t="str">
        <f>HLOOKUP(F6,AUTO!$B$1:$AJ$2,2,FALSE)</f>
        <v>Alguns productes poden tenir un impacte sobre el benestar a llarg termini dels clients. Això no es refereix a riscos de seguretat immediats, sinó a efectes que es desenvolupen amb el temps. Exemples d'aquests tipus d'impacte inclouen l'ús d'antibiòtics en la producció de carn, efectes negatius sobre la salut causats per aliments amb alt contingut de sal, sucre i greix i l'ús de substàncies que poden tenir efectes perjudicials després de llargs períodes d'exposició. Algunes mesures per protegir el benestar dels clients inclouen la implementació de mètodes de producció segurs i l'adaptació de receptes de productes per reduir la quantitat d'ingredients perjudicials.</v>
      </c>
      <c r="G7" s="95" t="str">
        <f>HLOOKUP(G6,AUTO!$B$1:$AJ$2,2,FALSE)</f>
        <v>L'accés i l'assequibilitat, especialment de productes i serveis bàsics, és important per a la igualtat d'oportunitats. Les empreses haurien de gestionar els preus i costos de manera responsable per oferir els productes i serveis (bàsics) a un preu assequible per a totes les persones que ho necessitin. Addicionalment, s'hauria d'avaluar l'accessibilitat de productes, serveis i edificis a totes les persones, incloent-hi les persones amb discapacitat, i prendre mesures per assegurar l'accessibilitat universal.</v>
      </c>
      <c r="H7" s="95" t="str">
        <f>HLOOKUP(H6,AUTO!$B$1:$AJ$2,2,FALSE)</f>
        <v>El compromís dels empleats i la promoció de la diversitat i inclusió a l'empresa són temes socials de gran rellevància. Aquests aspectes asseguren que la força laboral sigui diversa i que s'ofereixin oportunitats sense discriminació, la qual cosa permet la inclusió de membres de les comunitats locals i els consumidors dels productes de l'empresa. Per fomentar el compromís, la diversitat i la inclusió en l'empresa, és fonamental establir polítiques antidiscriminatòries en el procés de reclutament i promoure una cultura corporativa inclusiva.</v>
      </c>
      <c r="I7" s="95" t="str">
        <f>HLOOKUP(I6,AUTO!$B$1:$AJ$2,2,FALSE)</f>
        <v>És essencial mantenir Bones Pràctiques en la venda i l'etiquetatge de productes per prevenir qualsevol pràctica enganyosa. Les pràctiques enganyoses poden portar els consumidors a triar un producte que no s'ajusti a les seves necessitats o requeriments. Per tant, per garantir Bones Pràctiques en la venda i l'etiquetatge, una empresa ha de gestionar la transparència de la informació relacionada amb els seus productes, operacions i cadenes de valor. A més, és fonamental proporcionar informació precisa i rellevant sobre els productes, sense ocultar desavantatges o altres tipus d'informació d'interès.</v>
      </c>
      <c r="J7" s="95" t="str">
        <f>HLOOKUP(J6,AUTO!$B$1:$AJ$2,2,FALSE)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row>
    <row r="8" spans="1:40" ht="150" customHeight="1">
      <c r="B8" s="98" t="s">
        <v>456</v>
      </c>
      <c r="C8" s="267"/>
      <c r="D8" s="120" t="s">
        <v>1122</v>
      </c>
      <c r="E8" s="120" t="s">
        <v>1202</v>
      </c>
      <c r="F8" s="120" t="s">
        <v>1123</v>
      </c>
      <c r="G8" s="120" t="s">
        <v>1124</v>
      </c>
      <c r="H8" s="120" t="s">
        <v>1125</v>
      </c>
      <c r="I8" s="120" t="s">
        <v>1126</v>
      </c>
      <c r="J8" s="192" t="s">
        <v>1194</v>
      </c>
    </row>
    <row r="9" spans="1:40" ht="50.15" customHeight="1">
      <c r="B9" s="99"/>
      <c r="C9" s="268" t="s">
        <v>383</v>
      </c>
      <c r="D9" s="106" t="s">
        <v>384</v>
      </c>
      <c r="E9" s="135"/>
      <c r="F9" s="135"/>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73"/>
      <c r="F10" s="73"/>
    </row>
    <row r="11" spans="1:40" ht="150" customHeight="1">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36"/>
    </row>
    <row r="12" spans="1:40" ht="20.149999999999999"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00" customHeight="1">
      <c r="A15" s="78"/>
      <c r="B15" s="117" t="s">
        <v>550</v>
      </c>
      <c r="C15" s="118" t="s">
        <v>551</v>
      </c>
      <c r="D15" s="117" t="s">
        <v>552</v>
      </c>
      <c r="E15" s="111" t="s">
        <v>553</v>
      </c>
      <c r="O15" s="24"/>
      <c r="Q15"/>
    </row>
    <row r="16" spans="1:40" ht="100" customHeight="1">
      <c r="B16" s="117" t="s">
        <v>1127</v>
      </c>
      <c r="C16" s="118" t="s">
        <v>551</v>
      </c>
      <c r="D16" s="117" t="s">
        <v>555</v>
      </c>
      <c r="E16" s="112" t="s">
        <v>556</v>
      </c>
      <c r="O16" s="24"/>
      <c r="Q16"/>
    </row>
    <row r="17" spans="1:17" ht="50" customHeight="1">
      <c r="B17" s="253" t="s">
        <v>1345</v>
      </c>
      <c r="C17" s="256" t="s">
        <v>551</v>
      </c>
      <c r="D17" s="253" t="s">
        <v>557</v>
      </c>
      <c r="E17" s="111" t="s">
        <v>860</v>
      </c>
      <c r="O17" s="24"/>
      <c r="Q17"/>
    </row>
    <row r="18" spans="1:17" ht="50" customHeight="1">
      <c r="B18" s="255"/>
      <c r="C18" s="258"/>
      <c r="D18" s="255"/>
      <c r="E18" s="112" t="s">
        <v>639</v>
      </c>
      <c r="P18"/>
      <c r="Q18"/>
    </row>
    <row r="19" spans="1:17" ht="60" customHeight="1">
      <c r="B19" s="253" t="s">
        <v>560</v>
      </c>
      <c r="C19" s="256" t="s">
        <v>551</v>
      </c>
      <c r="D19" s="253" t="s">
        <v>861</v>
      </c>
      <c r="E19" s="112" t="s">
        <v>561</v>
      </c>
      <c r="P19"/>
      <c r="Q19"/>
    </row>
    <row r="20" spans="1:17" ht="60" customHeight="1">
      <c r="B20" s="254"/>
      <c r="C20" s="257"/>
      <c r="D20" s="254"/>
      <c r="E20" s="112" t="s">
        <v>562</v>
      </c>
      <c r="P20"/>
      <c r="Q20"/>
    </row>
    <row r="21" spans="1:17" ht="60" customHeight="1">
      <c r="B21" s="255"/>
      <c r="C21" s="258"/>
      <c r="D21" s="255"/>
      <c r="E21" s="112" t="s">
        <v>563</v>
      </c>
      <c r="P21"/>
      <c r="Q21"/>
    </row>
    <row r="22" spans="1:17" ht="175" customHeight="1">
      <c r="B22" s="117" t="s">
        <v>1370</v>
      </c>
      <c r="C22" s="118" t="s">
        <v>551</v>
      </c>
      <c r="D22" s="103" t="s">
        <v>1210</v>
      </c>
      <c r="E22" s="174" t="s">
        <v>676</v>
      </c>
      <c r="P22"/>
      <c r="Q22"/>
    </row>
    <row r="23" spans="1:17" ht="150" customHeight="1">
      <c r="B23" s="117" t="s">
        <v>567</v>
      </c>
      <c r="C23" s="118" t="s">
        <v>551</v>
      </c>
      <c r="D23" s="117" t="s">
        <v>568</v>
      </c>
      <c r="E23" s="112" t="s">
        <v>1128</v>
      </c>
      <c r="P23"/>
      <c r="Q23"/>
    </row>
    <row r="24" spans="1:17" ht="150" customHeight="1">
      <c r="A24" s="78"/>
      <c r="B24" s="117" t="s">
        <v>1374</v>
      </c>
      <c r="C24" s="119" t="s">
        <v>1375</v>
      </c>
      <c r="D24" s="117" t="s">
        <v>707</v>
      </c>
      <c r="E24" s="111" t="s">
        <v>574</v>
      </c>
      <c r="G24" s="86"/>
      <c r="H24" s="86"/>
      <c r="I24" s="86"/>
      <c r="J24" s="86"/>
      <c r="K24" s="83"/>
      <c r="L24" s="83"/>
      <c r="M24" s="86"/>
      <c r="N24" s="86"/>
      <c r="O24" s="83"/>
      <c r="P24"/>
      <c r="Q24"/>
    </row>
    <row r="25" spans="1:17" ht="150" customHeight="1">
      <c r="A25" s="78"/>
      <c r="B25" s="117" t="s">
        <v>795</v>
      </c>
      <c r="C25" s="119" t="s">
        <v>551</v>
      </c>
      <c r="D25" s="117" t="s">
        <v>1308</v>
      </c>
      <c r="E25" s="232" t="s">
        <v>1307</v>
      </c>
      <c r="G25" s="86"/>
      <c r="H25" s="86"/>
      <c r="I25" s="86"/>
      <c r="J25" s="86"/>
      <c r="K25" s="83"/>
      <c r="L25" s="83"/>
      <c r="M25" s="86"/>
      <c r="N25" s="86"/>
      <c r="O25" s="83"/>
      <c r="P25"/>
      <c r="Q25"/>
    </row>
    <row r="26" spans="1:17" ht="125" customHeight="1">
      <c r="B26" s="274" t="s">
        <v>766</v>
      </c>
      <c r="C26" s="256" t="s">
        <v>551</v>
      </c>
      <c r="D26" s="274" t="s">
        <v>1341</v>
      </c>
      <c r="E26" s="174" t="s">
        <v>575</v>
      </c>
      <c r="G26" s="140"/>
      <c r="H26" s="140"/>
      <c r="P26"/>
      <c r="Q26"/>
    </row>
    <row r="27" spans="1:17" ht="125" customHeight="1">
      <c r="B27" s="275"/>
      <c r="C27" s="272"/>
      <c r="D27" s="275"/>
      <c r="E27" s="227" t="s">
        <v>1329</v>
      </c>
      <c r="G27" s="140"/>
      <c r="H27" s="140"/>
      <c r="P27"/>
      <c r="Q27"/>
    </row>
    <row r="28" spans="1:17" ht="75" customHeight="1">
      <c r="B28" s="261" t="s">
        <v>1212</v>
      </c>
      <c r="C28" s="259" t="s">
        <v>551</v>
      </c>
      <c r="D28" s="261" t="s">
        <v>1209</v>
      </c>
      <c r="E28" s="112" t="s">
        <v>581</v>
      </c>
      <c r="P28"/>
      <c r="Q28"/>
    </row>
    <row r="29" spans="1:17" ht="75" customHeight="1">
      <c r="B29" s="262"/>
      <c r="C29" s="260"/>
      <c r="D29" s="262"/>
      <c r="E29" s="112" t="s">
        <v>582</v>
      </c>
      <c r="P29"/>
      <c r="Q29"/>
    </row>
    <row r="30" spans="1:17" ht="75" customHeight="1">
      <c r="B30" s="248" t="s">
        <v>1472</v>
      </c>
      <c r="C30" s="259" t="s">
        <v>551</v>
      </c>
      <c r="D30" s="248" t="s">
        <v>1473</v>
      </c>
      <c r="E30" s="174" t="s">
        <v>583</v>
      </c>
      <c r="P30"/>
      <c r="Q30"/>
    </row>
    <row r="31" spans="1:17" ht="75" customHeight="1">
      <c r="B31" s="248"/>
      <c r="C31" s="260"/>
      <c r="D31" s="248"/>
      <c r="E31" s="174" t="s">
        <v>580</v>
      </c>
      <c r="P31"/>
      <c r="Q31"/>
    </row>
    <row r="32" spans="1:17" ht="150" customHeight="1">
      <c r="A32" s="76"/>
      <c r="B32" s="150" t="s">
        <v>1183</v>
      </c>
      <c r="C32" s="161" t="s">
        <v>551</v>
      </c>
      <c r="D32" s="222" t="s">
        <v>1227</v>
      </c>
      <c r="E32" s="221" t="s">
        <v>643</v>
      </c>
      <c r="P32"/>
      <c r="Q32"/>
    </row>
    <row r="33" spans="1:17" ht="150" customHeight="1">
      <c r="A33" s="76"/>
      <c r="B33" s="150" t="s">
        <v>768</v>
      </c>
      <c r="C33" s="161" t="s">
        <v>551</v>
      </c>
      <c r="D33" s="222" t="s">
        <v>1252</v>
      </c>
      <c r="E33" s="216" t="s">
        <v>769</v>
      </c>
      <c r="P33"/>
      <c r="Q33"/>
    </row>
    <row r="34" spans="1:17" ht="150" customHeight="1">
      <c r="A34" s="76"/>
      <c r="B34" s="150" t="s">
        <v>585</v>
      </c>
      <c r="C34" s="161" t="s">
        <v>551</v>
      </c>
      <c r="D34" s="150" t="s">
        <v>1228</v>
      </c>
      <c r="E34" s="216" t="s">
        <v>586</v>
      </c>
      <c r="P34"/>
      <c r="Q34"/>
    </row>
    <row r="35" spans="1:17" ht="150" customHeight="1">
      <c r="A35" s="73"/>
      <c r="B35" s="117" t="s">
        <v>587</v>
      </c>
      <c r="C35" s="119" t="s">
        <v>551</v>
      </c>
      <c r="D35" s="117" t="s">
        <v>1282</v>
      </c>
      <c r="E35" s="174" t="s">
        <v>588</v>
      </c>
      <c r="P35"/>
      <c r="Q35"/>
    </row>
    <row r="36" spans="1:17">
      <c r="A36" s="76"/>
      <c r="E36" s="181"/>
      <c r="P36"/>
      <c r="Q36"/>
    </row>
    <row r="37" spans="1:17" ht="13" customHeight="1">
      <c r="A37" s="73"/>
      <c r="E37" s="181"/>
      <c r="P37"/>
      <c r="Q37"/>
    </row>
    <row r="38" spans="1:17" ht="50.15" customHeight="1">
      <c r="A38" s="73"/>
      <c r="B38" s="250" t="s">
        <v>1129</v>
      </c>
      <c r="C38" s="251"/>
      <c r="D38" s="251"/>
      <c r="E38" s="252"/>
      <c r="P38"/>
      <c r="Q38"/>
    </row>
    <row r="39" spans="1:17" ht="50.15" customHeight="1">
      <c r="A39" s="77"/>
      <c r="B39" s="197" t="s">
        <v>464</v>
      </c>
      <c r="C39" s="197" t="s">
        <v>548</v>
      </c>
      <c r="D39" s="197" t="s">
        <v>423</v>
      </c>
      <c r="E39" s="197" t="s">
        <v>634</v>
      </c>
      <c r="P39"/>
      <c r="Q39"/>
    </row>
    <row r="40" spans="1:17" ht="150" customHeight="1">
      <c r="A40" s="76"/>
      <c r="B40" s="103" t="s">
        <v>1474</v>
      </c>
      <c r="C40" s="118" t="s">
        <v>551</v>
      </c>
      <c r="D40" s="103" t="s">
        <v>1475</v>
      </c>
      <c r="E40" s="112" t="s">
        <v>1130</v>
      </c>
      <c r="P40"/>
      <c r="Q40"/>
    </row>
    <row r="41" spans="1:17" ht="150" customHeight="1">
      <c r="A41" s="76"/>
      <c r="B41" s="103" t="s">
        <v>1476</v>
      </c>
      <c r="C41" s="118" t="s">
        <v>551</v>
      </c>
      <c r="D41" s="103" t="s">
        <v>1477</v>
      </c>
      <c r="E41" s="112" t="s">
        <v>1131</v>
      </c>
      <c r="P41"/>
      <c r="Q41"/>
    </row>
    <row r="42" spans="1:17" ht="150" customHeight="1">
      <c r="A42" s="70"/>
      <c r="B42" s="103" t="s">
        <v>1479</v>
      </c>
      <c r="C42" s="118" t="s">
        <v>551</v>
      </c>
      <c r="D42" s="103" t="s">
        <v>1478</v>
      </c>
      <c r="E42" s="112" t="s">
        <v>1132</v>
      </c>
      <c r="O42" s="24"/>
      <c r="Q42"/>
    </row>
    <row r="43" spans="1:17" ht="150" customHeight="1">
      <c r="B43" s="117" t="s">
        <v>358</v>
      </c>
      <c r="C43" s="118" t="s">
        <v>551</v>
      </c>
      <c r="D43" s="117" t="s">
        <v>1480</v>
      </c>
      <c r="E43" s="174" t="s">
        <v>1133</v>
      </c>
      <c r="O43" s="24"/>
      <c r="Q43"/>
    </row>
    <row r="44" spans="1:17" ht="150" customHeight="1">
      <c r="B44" s="103" t="s">
        <v>1422</v>
      </c>
      <c r="C44" s="118" t="s">
        <v>551</v>
      </c>
      <c r="D44" s="117" t="s">
        <v>1481</v>
      </c>
      <c r="E44" s="174" t="s">
        <v>779</v>
      </c>
      <c r="O44" s="24"/>
      <c r="Q44"/>
    </row>
    <row r="45" spans="1:17" ht="150" customHeight="1">
      <c r="B45" s="103" t="s">
        <v>1482</v>
      </c>
      <c r="C45" s="118" t="s">
        <v>551</v>
      </c>
      <c r="D45" s="117" t="s">
        <v>1134</v>
      </c>
      <c r="E45" s="112" t="s">
        <v>1135</v>
      </c>
      <c r="O45" s="24"/>
      <c r="Q45"/>
    </row>
    <row r="46" spans="1:17" ht="150" customHeight="1">
      <c r="B46" s="117" t="s">
        <v>1019</v>
      </c>
      <c r="C46" s="118" t="s">
        <v>551</v>
      </c>
      <c r="D46" s="117" t="s">
        <v>1265</v>
      </c>
      <c r="E46" s="174" t="s">
        <v>1020</v>
      </c>
    </row>
    <row r="47" spans="1:17" ht="150" customHeight="1">
      <c r="B47" s="117" t="s">
        <v>1184</v>
      </c>
      <c r="C47" s="118" t="s">
        <v>551</v>
      </c>
      <c r="D47" s="117" t="s">
        <v>1136</v>
      </c>
      <c r="E47" s="174" t="s">
        <v>1137</v>
      </c>
    </row>
    <row r="48" spans="1:17" ht="150" customHeight="1">
      <c r="B48" s="229" t="s">
        <v>1185</v>
      </c>
      <c r="C48" s="219" t="s">
        <v>551</v>
      </c>
      <c r="D48" s="198" t="s">
        <v>1287</v>
      </c>
      <c r="E48" s="230" t="s">
        <v>1138</v>
      </c>
    </row>
    <row r="49" spans="2:5" ht="150" customHeight="1">
      <c r="B49" s="103" t="s">
        <v>1139</v>
      </c>
      <c r="C49" s="118" t="s">
        <v>551</v>
      </c>
      <c r="D49" s="103" t="s">
        <v>1285</v>
      </c>
      <c r="E49" s="174" t="s">
        <v>1140</v>
      </c>
    </row>
  </sheetData>
  <mergeCells count="20">
    <mergeCell ref="C4:C5"/>
    <mergeCell ref="C6:C8"/>
    <mergeCell ref="C9:C11"/>
    <mergeCell ref="B13:E13"/>
    <mergeCell ref="B38:E38"/>
    <mergeCell ref="B19:B21"/>
    <mergeCell ref="C19:C21"/>
    <mergeCell ref="D19:D21"/>
    <mergeCell ref="B17:B18"/>
    <mergeCell ref="D17:D18"/>
    <mergeCell ref="C17:C18"/>
    <mergeCell ref="B30:B31"/>
    <mergeCell ref="D30:D31"/>
    <mergeCell ref="C30:C31"/>
    <mergeCell ref="B28:B29"/>
    <mergeCell ref="C28:C29"/>
    <mergeCell ref="D28:D29"/>
    <mergeCell ref="B26:B27"/>
    <mergeCell ref="C26:C27"/>
    <mergeCell ref="D26:D27"/>
  </mergeCells>
  <conditionalFormatting sqref="A32:A38">
    <cfRule type="containsText" dxfId="77" priority="6" operator="containsText" text="No Aplica">
      <formula>NOT(ISERROR(SEARCH("No Aplica",A32)))</formula>
    </cfRule>
    <cfRule type="containsText" dxfId="76" priority="7" operator="containsText" text="Seleccionar">
      <formula>NOT(ISERROR(SEARCH("Seleccionar",A32)))</formula>
    </cfRule>
    <cfRule type="containsText" dxfId="75" priority="8" operator="containsText" text="Parcialmente Cumple">
      <formula>NOT(ISERROR(SEARCH("Parcialmente Cumple",A32)))</formula>
    </cfRule>
    <cfRule type="containsText" dxfId="74" priority="9" operator="containsText" text="No Cumple">
      <formula>NOT(ISERROR(SEARCH("No Cumple",A32)))</formula>
    </cfRule>
    <cfRule type="beginsWith" dxfId="73" priority="10" operator="beginsWith" text="Cumple">
      <formula>LEFT(A32,LEN("Cumple"))="Cumple"</formula>
    </cfRule>
  </conditionalFormatting>
  <conditionalFormatting sqref="C3:C11 D30:D31">
    <cfRule type="containsText" dxfId="72" priority="31" operator="containsText" text="No Aplica">
      <formula>NOT(ISERROR(SEARCH("No Aplica",C3)))</formula>
    </cfRule>
    <cfRule type="containsText" dxfId="71" priority="32" operator="containsText" text="Pendiente">
      <formula>NOT(ISERROR(SEARCH("Pendiente",C3)))</formula>
    </cfRule>
    <cfRule type="containsText" dxfId="70" priority="33" operator="containsText" text="Parcialmente Cumple">
      <formula>NOT(ISERROR(SEARCH("Parcialmente Cumple",C3)))</formula>
    </cfRule>
    <cfRule type="containsText" dxfId="69" priority="34" operator="containsText" text="No Cumple">
      <formula>NOT(ISERROR(SEARCH("No Cumple",C3)))</formula>
    </cfRule>
    <cfRule type="beginsWith" dxfId="68" priority="35" operator="beginsWith" text="Cumple">
      <formula>LEFT(C3,LEN("Cumple"))="Cumple"</formula>
    </cfRule>
  </conditionalFormatting>
  <conditionalFormatting sqref="D14:D19">
    <cfRule type="containsText" dxfId="67" priority="21" operator="containsText" text="No Aplica">
      <formula>NOT(ISERROR(SEARCH("No Aplica",D14)))</formula>
    </cfRule>
    <cfRule type="containsText" dxfId="66" priority="22" operator="containsText" text="Pendiente">
      <formula>NOT(ISERROR(SEARCH("Pendiente",D14)))</formula>
    </cfRule>
    <cfRule type="containsText" dxfId="65" priority="23" operator="containsText" text="Parcialmente Cumple">
      <formula>NOT(ISERROR(SEARCH("Parcialmente Cumple",D14)))</formula>
    </cfRule>
    <cfRule type="containsText" dxfId="64" priority="24" operator="containsText" text="No Cumple">
      <formula>NOT(ISERROR(SEARCH("No Cumple",D14)))</formula>
    </cfRule>
    <cfRule type="beginsWith" dxfId="63" priority="25" operator="beginsWith" text="Cumple">
      <formula>LEFT(D14,LEN("Cumple"))="Cumple"</formula>
    </cfRule>
  </conditionalFormatting>
  <conditionalFormatting sqref="D23:D25">
    <cfRule type="containsText" dxfId="62" priority="46" operator="containsText" text="No Aplica">
      <formula>NOT(ISERROR(SEARCH("No Aplica",D23)))</formula>
    </cfRule>
    <cfRule type="containsText" dxfId="61" priority="47" operator="containsText" text="Pendiente">
      <formula>NOT(ISERROR(SEARCH("Pendiente",D23)))</formula>
    </cfRule>
    <cfRule type="containsText" dxfId="60" priority="48" operator="containsText" text="Parcialmente Cumple">
      <formula>NOT(ISERROR(SEARCH("Parcialmente Cumple",D23)))</formula>
    </cfRule>
    <cfRule type="containsText" dxfId="59" priority="49" operator="containsText" text="No Cumple">
      <formula>NOT(ISERROR(SEARCH("No Cumple",D23)))</formula>
    </cfRule>
    <cfRule type="beginsWith" dxfId="58" priority="50" operator="beginsWith" text="Cumple">
      <formula>LEFT(D23,LEN("Cumple"))="Cumple"</formula>
    </cfRule>
  </conditionalFormatting>
  <conditionalFormatting sqref="D28">
    <cfRule type="containsText" dxfId="57" priority="1" operator="containsText" text="No Aplica">
      <formula>NOT(ISERROR(SEARCH("No Aplica",D28)))</formula>
    </cfRule>
    <cfRule type="containsText" dxfId="56" priority="2" operator="containsText" text="Pendiente">
      <formula>NOT(ISERROR(SEARCH("Pendiente",D28)))</formula>
    </cfRule>
    <cfRule type="containsText" dxfId="55" priority="3" operator="containsText" text="Parcialmente Cumple">
      <formula>NOT(ISERROR(SEARCH("Parcialmente Cumple",D28)))</formula>
    </cfRule>
    <cfRule type="containsText" dxfId="54" priority="4" operator="containsText" text="No Cumple">
      <formula>NOT(ISERROR(SEARCH("No Cumple",D28)))</formula>
    </cfRule>
    <cfRule type="beginsWith" dxfId="53" priority="5" operator="beginsWith" text="Cumple">
      <formula>LEFT(D28,LEN("Cumple"))="Cumple"</formula>
    </cfRule>
  </conditionalFormatting>
  <conditionalFormatting sqref="D39">
    <cfRule type="containsText" dxfId="52" priority="12" operator="containsText" text="Pendiente">
      <formula>NOT(ISERROR(SEARCH("Pendiente",D39)))</formula>
    </cfRule>
    <cfRule type="containsText" dxfId="51" priority="13" operator="containsText" text="Parcialmente Cumple">
      <formula>NOT(ISERROR(SEARCH("Parcialmente Cumple",D39)))</formula>
    </cfRule>
    <cfRule type="containsText" dxfId="50" priority="14" operator="containsText" text="No Cumple">
      <formula>NOT(ISERROR(SEARCH("No Cumple",D39)))</formula>
    </cfRule>
    <cfRule type="beginsWith" dxfId="49" priority="15" operator="beginsWith" text="Cumple">
      <formula>LEFT(D39,LEN("Cumple"))="Cumple"</formula>
    </cfRule>
  </conditionalFormatting>
  <conditionalFormatting sqref="D39:E39">
    <cfRule type="containsText" dxfId="48" priority="11" operator="containsText" text="No Aplica">
      <formula>NOT(ISERROR(SEARCH("No Aplica",D39)))</formula>
    </cfRule>
  </conditionalFormatting>
  <conditionalFormatting sqref="E14">
    <cfRule type="containsText" dxfId="47" priority="26" operator="containsText" text="No Aplica">
      <formula>NOT(ISERROR(SEARCH("No Aplica",E14)))</formula>
    </cfRule>
    <cfRule type="containsText" dxfId="46" priority="27" operator="containsText" text="Seleccionar">
      <formula>NOT(ISERROR(SEARCH("Seleccionar",E14)))</formula>
    </cfRule>
    <cfRule type="containsText" dxfId="45" priority="28" operator="containsText" text="Parcialmente Cumple">
      <formula>NOT(ISERROR(SEARCH("Parcialmente Cumple",E14)))</formula>
    </cfRule>
    <cfRule type="containsText" dxfId="44" priority="29" operator="containsText" text="No Cumple">
      <formula>NOT(ISERROR(SEARCH("No Cumple",E14)))</formula>
    </cfRule>
    <cfRule type="beginsWith" dxfId="43" priority="30" operator="beginsWith" text="Cumple">
      <formula>LEFT(E14,LEN("Cumple"))="Cumple"</formula>
    </cfRule>
  </conditionalFormatting>
  <conditionalFormatting sqref="E39">
    <cfRule type="containsText" dxfId="42" priority="17" operator="containsText" text="Seleccionar">
      <formula>NOT(ISERROR(SEARCH("Seleccionar",E39)))</formula>
    </cfRule>
    <cfRule type="containsText" dxfId="41" priority="18" operator="containsText" text="Parcialmente Cumple">
      <formula>NOT(ISERROR(SEARCH("Parcialmente Cumple",E39)))</formula>
    </cfRule>
    <cfRule type="containsText" dxfId="40" priority="19" operator="containsText" text="No Cumple">
      <formula>NOT(ISERROR(SEARCH("No Cumple",E39)))</formula>
    </cfRule>
    <cfRule type="beginsWith" dxfId="39" priority="20" operator="beginsWith" text="Cumple">
      <formula>LEFT(E39,LEN("Cumple"))="Cumple"</formula>
    </cfRule>
  </conditionalFormatting>
  <hyperlinks>
    <hyperlink ref="E40" r:id="rId1" display="Consulta la Agenda 2030 Catalunya"/>
    <hyperlink ref="E42" r:id="rId2" display="Consulta información sobre ecoescuelas"/>
    <hyperlink ref="E41" r:id="rId3" display="https://mediambient.gencat.cat/ca/05_ambits_dactuacio/educacio_i_sostenibilitat/educacio_per_a_la_sostenibilitat/"/>
    <hyperlink ref="E43" r:id="rId4" display="https://icaen.gencat.cat/ca/energia/renovables/"/>
    <hyperlink ref="E44" r:id="rId5" display="Consulta más información sobre el capital humano"/>
    <hyperlink ref="E45" r:id="rId6" display="Consulta más información sobre el programa salut i escola"/>
    <hyperlink ref="E16" r:id="rId7" display="Consulta información sobre ISO 9001"/>
    <hyperlink ref="E18" r:id="rId8" display="Consulta información sobre ISO 14001"/>
    <hyperlink ref="E19" r:id="rId9" display="Consulta más información sobre el CSRD"/>
    <hyperlink ref="E20" r:id="rId10" display="Consulta ley 11/2018"/>
    <hyperlink ref="E21" r:id="rId11" display="Consulta más información sobre el marco GRI"/>
    <hyperlink ref="E22" r:id="rId12" display="Consulta información sobre el GHG Protocol"/>
    <hyperlink ref="E24" r:id="rId13" display="Consulta el Real Decreto 901/2020"/>
    <hyperlink ref="E26" r:id="rId14" display="Consulta Ley 7/2022"/>
    <hyperlink ref="E30" r:id="rId15" display="Consulta ISO 20400:2017 sobre adquisición sostenible"/>
    <hyperlink ref="E17" r:id="rId16" display="Consulta informació sobre EMAS"/>
    <hyperlink ref="E31" r:id="rId17" display="Consulta información sobre las ecoetiquetas de la UE"/>
    <hyperlink ref="E23" r:id="rId18" display="https://act.gencat.cat/wp-content/uploads/2019/05/CAT-ACT-POL%C3%8DTICA-DE-PRIVACITAT.pdf"/>
    <hyperlink ref="E15" r:id="rId19" display="Consulta més informació sobre el codi de conducta"/>
    <hyperlink ref="E48" r:id="rId20" display="https://triaeducativa.gencat.cat/ca/inici"/>
    <hyperlink ref="E47" r:id="rId21" display="https://educacio.gencat.cat/ca/arees-actuacio/professors/altres/programa-benestar-emocional/index.html"/>
    <hyperlink ref="E49" r:id="rId22" display="https://educacio.gencat.cat/ca/serveis-tramits/ajuts-subvencions/pla-estrategic-subvencions/index.html"/>
    <hyperlink ref="E32" r:id="rId23" display="https://treball.gencat.cat/ca/ambits/seguretat_i_salut_laboral/ci_/pla-govern/"/>
    <hyperlink ref="E33" r:id="rId24" display="https://dogc.gencat.cat/ca/document-del-dogc/?documentId=966011"/>
    <hyperlink ref="E34" r:id="rId25" display="https://govern.cat/gov/pla-govern?eix=0&amp;ambit=1"/>
    <hyperlink ref="E28" r:id="rId26" display="Consulta información sobre la iniciativa Lean and Green"/>
    <hyperlink ref="E29" r:id="rId27" display="https://canviclimatic.gencat.cat/ca/oficina/index.html"/>
    <hyperlink ref="E46" r:id="rId28" display="https://mediambient.gencat.cat/web/.content/home/ambits_dactuacio/empresa_i_produccio_sostenible/ecoproductes_i_ecoserveis/esdeveniments-sostenibles/GENCAT-ESDEVENIMENTS_V.9-9-acces.pdf"/>
    <hyperlink ref="E35" r:id="rId29" display="https://governobert.gencat.cat/ca/detalls/noticia/guia_plansinterdepartamentals"/>
    <hyperlink ref="E25" r:id="rId30"/>
    <hyperlink ref="E27" r:id="rId31"/>
  </hyperlinks>
  <pageMargins left="0.7" right="0.7" top="0.75" bottom="0.75" header="0.3" footer="0.3"/>
  <pageSetup paperSize="9" orientation="portrait" r:id="rId3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tabColor theme="9" tint="0.39997558519241921"/>
  </sheetPr>
  <dimension ref="A1:AN64"/>
  <sheetViews>
    <sheetView showGridLines="0" zoomScale="70" zoomScaleNormal="70" workbookViewId="0">
      <selection activeCell="E1" sqref="E1"/>
    </sheetView>
  </sheetViews>
  <sheetFormatPr defaultColWidth="11.453125" defaultRowHeight="12.5"/>
  <cols>
    <col min="1" max="1" width="15.453125" customWidth="1"/>
    <col min="2" max="2" width="36.453125" customWidth="1"/>
    <col min="3" max="3" width="18.81640625" customWidth="1"/>
    <col min="4" max="11" width="65.54296875" customWidth="1"/>
    <col min="12" max="12" width="43.453125" customWidth="1"/>
    <col min="13" max="13" width="31.453125" customWidth="1"/>
    <col min="14" max="14" width="19.54296875" customWidth="1"/>
    <col min="15" max="15" width="73.54296875" customWidth="1"/>
    <col min="16" max="16" width="19.26953125" style="24" customWidth="1"/>
    <col min="17" max="17" width="29.81640625" style="24" customWidth="1"/>
    <col min="18" max="23" width="43.453125" customWidth="1"/>
  </cols>
  <sheetData>
    <row r="1" spans="1:40" ht="112" customHeight="1">
      <c r="A1" s="78"/>
      <c r="D1" s="102" t="s">
        <v>1490</v>
      </c>
      <c r="E1" s="201" t="s">
        <v>1338</v>
      </c>
      <c r="R1" s="83"/>
      <c r="S1" s="87"/>
      <c r="T1" s="83"/>
      <c r="U1" s="86"/>
      <c r="V1" s="86"/>
      <c r="W1" s="83"/>
      <c r="X1" s="83"/>
      <c r="Y1" s="83"/>
      <c r="Z1" s="83"/>
      <c r="AA1" s="83"/>
      <c r="AB1" s="83"/>
      <c r="AC1" s="83"/>
      <c r="AD1" s="83"/>
      <c r="AE1" s="83"/>
      <c r="AF1" s="83"/>
      <c r="AG1" s="83"/>
      <c r="AH1" s="84"/>
      <c r="AI1" s="83"/>
      <c r="AJ1" s="83"/>
      <c r="AK1" s="83"/>
      <c r="AL1" s="83"/>
      <c r="AM1" s="83"/>
      <c r="AN1" s="83"/>
    </row>
    <row r="2" spans="1:40" ht="30" customHeight="1">
      <c r="A2" s="78"/>
      <c r="E2" s="80"/>
      <c r="F2" s="85"/>
      <c r="G2" s="86"/>
      <c r="H2" s="86"/>
      <c r="I2" s="86"/>
      <c r="J2" s="86"/>
      <c r="K2" s="86"/>
      <c r="L2" s="83"/>
    </row>
    <row r="3" spans="1:40" ht="50.15" customHeight="1">
      <c r="A3" s="80"/>
      <c r="B3" s="79"/>
      <c r="C3" s="89"/>
      <c r="D3" s="108" t="s">
        <v>358</v>
      </c>
      <c r="E3" s="108" t="s">
        <v>357</v>
      </c>
      <c r="F3" s="108" t="s">
        <v>359</v>
      </c>
      <c r="G3" s="108" t="s">
        <v>361</v>
      </c>
      <c r="I3" s="135"/>
      <c r="J3" s="153"/>
      <c r="K3" s="153"/>
    </row>
    <row r="4" spans="1:40" ht="150" customHeight="1">
      <c r="B4" s="98" t="s">
        <v>423</v>
      </c>
      <c r="C4" s="266" t="s">
        <v>356</v>
      </c>
      <c r="D4" s="95" t="str">
        <f>HLOOKUP(D3,AUTO!$B$1:$AJ$2,2,FALSE)</f>
        <v xml:space="preserve">Les emissions de gasos amb efecte d'hivernacle i les energies renovables són categories estretament vinculades amb el canvi climàtic. Les empreses amb una major petjada de carboni contribueixen en major mesura al canvi climàtic. Reduir els impactes relacionats amb aquest tema requereix una reducció de la petjada de carboni de l'empresa. Això requereix una transició envers fonts d'energia renovables i la implementació d'estratègies per assolir emissions netes zero. </v>
      </c>
      <c r="E4" s="95" t="str">
        <f>HLOOKUP(E3,AUTO!$B$1:$AJ$2,2,FALSE)</f>
        <v xml:space="preserve">L'eficiència energètica i les energies renovables se centren a disminuir el consum energètic respecte de la producció. Les empreses amb una alta eficiència energètica són més sostenibles ambientalment i econòmicament, ja que requereixen menys recursos (combustibles, electricitat, matèries primeres, etc.) per generar el mateix volum d'ingressos que una de menys eficient.
</v>
      </c>
      <c r="F4" s="95" t="str">
        <f>HLOOKUP(F3,AUTO!$B$1:$AJ$2,2,FALSE)</f>
        <v>Els impactes físics del canvi climàtic són aquells que experimenta, experimentarà o ja ha experimentat l'empresa vinculats a modificacions en variables climàtiques. Per exemple, la manca d'aigua a causa d'una sequera prolongada, danys provocats per inundacions causades per una tempesta especialment forta, pedregades o els costos en què l'empresa ha d'incórrer per adaptar-se a un clima canviant.</v>
      </c>
      <c r="G4" s="95" t="str">
        <f>HLOOKUP(G3,AUTO!$B$1:$AJ$2,2,FALSE)</f>
        <v>La gestió de residus perillosos i no perillosos és un àmbit en constant evolució normativa. L'adequada gestió de residus i materials perillosos és clau per reduir la contaminació causada per l'empresa o els productes que posa al mercat. Optimitzar el disseny i la producció i treballar paral·lelament a millorar la gestió de residus és clau per transicionar envers una economia circular que redueixi la necessitat d'explotació de nous recursos naturals. Per tant, les empreses que gestionen els seus residus i eviten la seva generació són més sostenibles i estan més alineades amb els principis de l'economia circular.</v>
      </c>
      <c r="I4" s="73"/>
      <c r="J4" s="73"/>
      <c r="K4" s="73"/>
    </row>
    <row r="5" spans="1:40" ht="150" customHeight="1">
      <c r="B5" s="98" t="s">
        <v>456</v>
      </c>
      <c r="C5" s="267"/>
      <c r="D5" s="120" t="s">
        <v>1030</v>
      </c>
      <c r="E5" s="120" t="s">
        <v>1141</v>
      </c>
      <c r="F5" s="120" t="s">
        <v>1203</v>
      </c>
      <c r="G5" s="120" t="s">
        <v>1142</v>
      </c>
      <c r="I5" s="136"/>
      <c r="J5" s="136"/>
    </row>
    <row r="6" spans="1:40" ht="50.15" customHeight="1">
      <c r="B6" s="110"/>
      <c r="C6" s="268" t="s">
        <v>369</v>
      </c>
      <c r="D6" s="156" t="s">
        <v>373</v>
      </c>
      <c r="E6" s="164" t="s">
        <v>374</v>
      </c>
      <c r="F6" s="164" t="s">
        <v>375</v>
      </c>
      <c r="G6" s="164" t="s">
        <v>421</v>
      </c>
      <c r="H6" s="108" t="s">
        <v>417</v>
      </c>
      <c r="I6" s="108" t="s">
        <v>376</v>
      </c>
      <c r="J6" s="108" t="s">
        <v>419</v>
      </c>
    </row>
    <row r="7" spans="1:40" ht="150" customHeight="1">
      <c r="B7" s="98" t="s">
        <v>423</v>
      </c>
      <c r="C7" s="266"/>
      <c r="D7" s="115" t="str">
        <f>HLOOKUP(D6,AUTO!$B$1:$AJ$2,2,FALSE)</f>
        <v>La protecció de dades se centra en l'emmagatzematge i la gestió segura de les dades de clients, empleats i altres grups d'interès. És important respectar el RGPD (UE 2016/679) que estableix els requisits de la protecció de dades a la UE. A més, és important que només persones assignades tinguin accés a les dades emmagatzemades per l'empresa i sempre respectant-ne la privacitat. Per assegurar la protecció, les empreses poden establir una política de protecció de dades, assignar una persona reponsable i assegurar que els sistemes informàtics són adequats per protegir-los.</v>
      </c>
      <c r="E7" s="95" t="str">
        <f>HLOOKUP(E6,AUTO!$B$1:$AJ$2,2,FALSE)</f>
        <v>La seguretat i qualitat són aspectes importants del producte, no només des d'una perspectiva econòmica, sinó també des d'una perspectiva de sostenibilitat. Falles de seguretat i/o qualitat del producte poden afectar negativament la salut o la seguretat dels usuaris, la qual cosa pot produir una varietat de riscos tant per a la reputació de l'empresa com legals. Algunes de les mesures que les empreses poden prendre per gestionar aquests riscos són dur a terme proves de productes i gestionar el contingut, els ingredients i els químics utilitzats en el producte.</v>
      </c>
      <c r="F7" s="95" t="str">
        <f>HLOOKUP(F6,AUTO!$B$1:$AJ$2,2,FALSE)</f>
        <v>Alguns productes poden tenir un impacte sobre el benestar a llarg termini dels clients. Això no es refereix a riscos de seguretat immediats, sinó a efectes que es desenvolupen amb el temps. Exemples d'aquests tipus d'impacte inclouen l'ús d'antibiòtics en la producció de carn, efectes negatius sobre la salut causats per aliments amb alt contingut de sal, sucre i greix i l'ús de substàncies que poden tenir efectes perjudicials després de llargs períodes d'exposició. Algunes mesures per protegir el benestar dels clients inclouen la implementació de mètodes de producció segurs i l'adaptació de receptes de productes per reduir la quantitat d'ingredients perjudicials.</v>
      </c>
      <c r="G7" s="95" t="str">
        <f>HLOOKUP(G6,AUTO!$B$1:$AJ$2,2,FALSE)</f>
        <v>L'accés i l'assequibilitat, especialment de productes i serveis bàsics, és important per a la igualtat d'oportunitats. Les empreses haurien de gestionar els preus i costos de manera responsable per oferir els productes i serveis (bàsics) a un preu assequible per a totes les persones que ho necessitin. Addicionalment, s'hauria d'avaluar l'accessibilitat de productes, serveis i edificis a totes les persones, incloent-hi les persones amb discapacitat, i prendre mesures per assegurar l'accessibilitat universal.</v>
      </c>
      <c r="H7" s="95" t="str">
        <f>HLOOKUP(H6,AUTO!$B$1:$AJ$2,2,FALSE)</f>
        <v>La salut i seguretat laboral hauria de ser una prioritat fonamental en qualsevol empresa. Totes les empreses han d'assegurar-se de proporcionar un entorn de treball segur i saludable per als seus empleats. Això és especialment crucial en aquelles empreses que duen a terme operacions perilloses o tenen el potencial d'afectar adversament la salut dels seus treballadors. Una de les mesures clau per assegurar la salut i seguretat dels empleats és designar un/a responsable de salut i seguretat la funció principal del qual consisteix a avaluar els riscos per als empleats i implementar mesures de mitigació corresponents.</v>
      </c>
      <c r="I7" s="95" t="str">
        <f>HLOOKUP(I6,AUTO!$B$1:$AJ$2,2,FALSE)</f>
        <v>Per tenir una bona consideració social i contribuir a una societat més justa, les empreses haurien d'oferir bones condicions laborals als seus empleats. Això no es limita al compliment dels drets humans; també inclou drets laborals, remuneració justa, horaris dignes, pagament d'hores extres, etc. Addicionalment, per anar més enllà dels compliments legals, les empreses poden oferir oportunitats de creixement, dret a desconnexió digital, posicions híbrides o en remot i altres mesures de conciliació per promoure l'equilibri entre la vida laboral i la personal.</v>
      </c>
      <c r="J7" s="95" t="str">
        <f>HLOOKUP(J6,AUTO!$B$1:$AJ$2,2,FALSE)</f>
        <v>El compromís dels empleats i la promoció de la diversitat i inclusió a l'empresa són temes socials de gran rellevància. Aquests aspectes asseguren que la força laboral sigui diversa i que s'ofereixin oportunitats sense discriminació, la qual cosa permet la inclusió de membres de les comunitats locals i els consumidors dels productes de l'empresa. Per fomentar el compromís, la diversitat i la inclusió en l'empresa, és fonamental establir polítiques antidiscriminatòries en el procés de reclutament i promoure una cultura corporativa inclusiva.</v>
      </c>
    </row>
    <row r="8" spans="1:40" ht="159.5" customHeight="1">
      <c r="B8" s="98" t="s">
        <v>456</v>
      </c>
      <c r="C8" s="267"/>
      <c r="D8" s="120" t="s">
        <v>1204</v>
      </c>
      <c r="E8" s="120" t="s">
        <v>1143</v>
      </c>
      <c r="F8" s="120" t="s">
        <v>1144</v>
      </c>
      <c r="G8" s="120" t="s">
        <v>1145</v>
      </c>
      <c r="H8" s="120" t="s">
        <v>1146</v>
      </c>
      <c r="I8" s="120" t="s">
        <v>1147</v>
      </c>
      <c r="J8" s="120" t="s">
        <v>1148</v>
      </c>
    </row>
    <row r="9" spans="1:40" ht="50.15" customHeight="1">
      <c r="B9" s="99"/>
      <c r="C9" s="268" t="s">
        <v>383</v>
      </c>
      <c r="D9" s="106" t="s">
        <v>384</v>
      </c>
      <c r="E9" s="108" t="s">
        <v>422</v>
      </c>
      <c r="F9" s="108" t="s">
        <v>387</v>
      </c>
    </row>
    <row r="10" spans="1:40" ht="150" customHeight="1">
      <c r="B10" s="98" t="s">
        <v>423</v>
      </c>
      <c r="C10" s="266"/>
      <c r="D10" s="95" t="str">
        <f>HLOOKUP(D9,AUTO!$B$1:$AJ$2,2,FALSE)</f>
        <v xml:space="preserve">El bon govern és un tema ampli, enfocat en la gestió responsable i ètica de l'organització en general. L'acompliment de bon govern està vinculat als codis ètics de l'empresa, l'estructura de la propietat i el control de l'empresa, la junta directiva (i la seva remuneració), una comptabilitat transparent, la política fiscal i la transparència.
</v>
      </c>
      <c r="E10" s="95" t="str">
        <f>HLOOKUP(E9,AUTO!$B$1:$AJ$2,2,FALSE)</f>
        <v xml:space="preserve">La gestió de riscos d'incidents crítics és rellevant per a organitzacions que duen a terme activitats o operacions perilloses. En aquest context, les organitzacions que identifiquen, comprenen, prevenen i minimitzen els riscos d'incidents que podrien ocórrer aconseguiran un millor acompliment en termes de sostenibilitat en la seva governança corporativa. Les empreses poden millorar el seu rendiment mitjançant la promoció d'una cultura de seguretat, la implementació de tecnologies que ajudin en la gestió de riscos, la realització d'anàlisi de probabilitat i impacte dels riscos i l'aplicació de mesures per mitigar aquests riscos, entre altres accions.
</v>
      </c>
      <c r="F10" s="95" t="str">
        <f>HLOOKUP(F9,AUTO!$B$1:$AJ$2,2,FALSE)</f>
        <v xml:space="preserve">La gestió de riscos sistèmics s'enfoca a la contribució d'una empresa pel que fa als riscos sistèmics que amenacen els sistemes econòmics, socials, ambientals i tecnològics dels quals la societat depèn. Exemples d'aquests riscos inclouen el consum excessiu d'aigua per part d'una empresa que opera en una zona que ja pateix estrès hídric. Per millorar la seva gestió de la sostenibilitat, l'organització pot avaluar els seus impactes i aplicar plans i mesures de mitigació, entre altres accions.
</v>
      </c>
    </row>
    <row r="11" spans="1:40" ht="150" customHeight="1">
      <c r="B11" s="98" t="s">
        <v>456</v>
      </c>
      <c r="C11" s="266"/>
      <c r="D11" s="120" t="str">
        <f>HLOOKUP(D9,AUTO!$AE$1:$AE$3,3,FALSE)</f>
        <v>- Composició de la junta directiva
- % de membres independents dins la junta directiva
- Existència de canals de denúncies i protecció de les parts interessades involucrades
- % d'alts càrrecs investigats o condemnats
- Compliment de codis (ètic, conducta, etc.) i normatives
- % dels empleats (incloent-hi junta directiva) amb remuneració basada en la consecució d'objectius de sostenibilitat.
- Auditories i certificacions independents</v>
      </c>
      <c r="E11" s="120" t="s">
        <v>1149</v>
      </c>
      <c r="F11" s="120" t="s">
        <v>1150</v>
      </c>
    </row>
    <row r="12" spans="1:40" ht="150" customHeight="1">
      <c r="A12" s="74"/>
    </row>
    <row r="13" spans="1:40" ht="50.15" customHeight="1">
      <c r="A13" s="78"/>
      <c r="B13" s="250" t="s">
        <v>633</v>
      </c>
      <c r="C13" s="251"/>
      <c r="D13" s="251"/>
      <c r="E13" s="252"/>
      <c r="O13" s="24"/>
      <c r="Q13"/>
    </row>
    <row r="14" spans="1:40" ht="50.15" customHeight="1">
      <c r="A14" s="78"/>
      <c r="B14" s="197" t="s">
        <v>464</v>
      </c>
      <c r="C14" s="197" t="s">
        <v>548</v>
      </c>
      <c r="D14" s="197" t="s">
        <v>423</v>
      </c>
      <c r="E14" s="197" t="s">
        <v>634</v>
      </c>
      <c r="O14" s="24"/>
      <c r="Q14"/>
    </row>
    <row r="15" spans="1:40" ht="100" customHeight="1">
      <c r="A15" s="78"/>
      <c r="B15" s="117" t="s">
        <v>550</v>
      </c>
      <c r="C15" s="118" t="s">
        <v>551</v>
      </c>
      <c r="D15" s="117" t="s">
        <v>552</v>
      </c>
      <c r="E15" s="111" t="s">
        <v>553</v>
      </c>
      <c r="O15" s="24"/>
      <c r="Q15"/>
    </row>
    <row r="16" spans="1:40" ht="100" customHeight="1">
      <c r="B16" s="117" t="s">
        <v>1127</v>
      </c>
      <c r="C16" s="118" t="s">
        <v>551</v>
      </c>
      <c r="D16" s="117" t="s">
        <v>555</v>
      </c>
      <c r="E16" s="112" t="s">
        <v>556</v>
      </c>
      <c r="O16" s="24"/>
      <c r="Q16"/>
    </row>
    <row r="17" spans="1:17" ht="50" customHeight="1">
      <c r="B17" s="253" t="s">
        <v>1345</v>
      </c>
      <c r="C17" s="256" t="s">
        <v>551</v>
      </c>
      <c r="D17" s="253" t="s">
        <v>557</v>
      </c>
      <c r="E17" s="111" t="s">
        <v>860</v>
      </c>
      <c r="O17" s="24"/>
      <c r="Q17"/>
    </row>
    <row r="18" spans="1:17" ht="50" customHeight="1">
      <c r="B18" s="255"/>
      <c r="C18" s="258"/>
      <c r="D18" s="255"/>
      <c r="E18" s="112" t="s">
        <v>1113</v>
      </c>
      <c r="O18" s="24"/>
      <c r="Q18"/>
    </row>
    <row r="19" spans="1:17" ht="60" customHeight="1">
      <c r="B19" s="253" t="s">
        <v>560</v>
      </c>
      <c r="C19" s="256" t="s">
        <v>551</v>
      </c>
      <c r="D19" s="253" t="s">
        <v>861</v>
      </c>
      <c r="E19" s="112" t="s">
        <v>561</v>
      </c>
      <c r="P19"/>
      <c r="Q19"/>
    </row>
    <row r="20" spans="1:17" ht="60" customHeight="1">
      <c r="B20" s="254"/>
      <c r="C20" s="257"/>
      <c r="D20" s="254"/>
      <c r="E20" s="112" t="s">
        <v>562</v>
      </c>
      <c r="P20"/>
      <c r="Q20"/>
    </row>
    <row r="21" spans="1:17" ht="60" customHeight="1">
      <c r="B21" s="255"/>
      <c r="C21" s="258"/>
      <c r="D21" s="255"/>
      <c r="E21" s="112" t="s">
        <v>563</v>
      </c>
      <c r="P21"/>
      <c r="Q21"/>
    </row>
    <row r="22" spans="1:17" ht="210.65" customHeight="1">
      <c r="B22" s="117" t="s">
        <v>1370</v>
      </c>
      <c r="C22" s="118" t="s">
        <v>551</v>
      </c>
      <c r="D22" s="103" t="s">
        <v>1210</v>
      </c>
      <c r="E22" s="174" t="s">
        <v>676</v>
      </c>
      <c r="O22" s="24"/>
      <c r="Q22"/>
    </row>
    <row r="23" spans="1:17" ht="150" customHeight="1">
      <c r="B23" s="117" t="s">
        <v>1483</v>
      </c>
      <c r="C23" s="118" t="s">
        <v>551</v>
      </c>
      <c r="D23" s="103" t="s">
        <v>1038</v>
      </c>
      <c r="E23" s="174" t="s">
        <v>566</v>
      </c>
      <c r="P23"/>
      <c r="Q23"/>
    </row>
    <row r="24" spans="1:17" ht="150" customHeight="1">
      <c r="B24" s="117" t="s">
        <v>567</v>
      </c>
      <c r="C24" s="118" t="s">
        <v>551</v>
      </c>
      <c r="D24" s="117" t="s">
        <v>568</v>
      </c>
      <c r="E24" s="112" t="s">
        <v>569</v>
      </c>
      <c r="O24" s="24"/>
      <c r="Q24"/>
    </row>
    <row r="25" spans="1:17" ht="150" customHeight="1">
      <c r="A25" s="78"/>
      <c r="B25" s="117" t="s">
        <v>570</v>
      </c>
      <c r="C25" s="118" t="s">
        <v>551</v>
      </c>
      <c r="D25" s="117" t="s">
        <v>862</v>
      </c>
      <c r="E25" s="112" t="s">
        <v>641</v>
      </c>
      <c r="P25"/>
      <c r="Q25"/>
    </row>
    <row r="26" spans="1:17" ht="150" customHeight="1">
      <c r="A26" s="78"/>
      <c r="B26" s="117" t="s">
        <v>1374</v>
      </c>
      <c r="C26" s="119" t="s">
        <v>1375</v>
      </c>
      <c r="D26" s="117" t="s">
        <v>707</v>
      </c>
      <c r="E26" s="111" t="s">
        <v>574</v>
      </c>
      <c r="G26" s="86"/>
      <c r="H26" s="86"/>
      <c r="I26" s="86"/>
      <c r="J26" s="86"/>
      <c r="K26" s="87"/>
      <c r="L26" s="83"/>
      <c r="M26" s="86"/>
      <c r="N26" s="86"/>
      <c r="O26" s="83"/>
      <c r="P26"/>
      <c r="Q26"/>
    </row>
    <row r="27" spans="1:17" ht="51" customHeight="1">
      <c r="A27" s="78"/>
      <c r="B27" s="253" t="s">
        <v>795</v>
      </c>
      <c r="C27" s="263" t="s">
        <v>551</v>
      </c>
      <c r="D27" s="253" t="s">
        <v>1484</v>
      </c>
      <c r="E27" s="232" t="s">
        <v>1307</v>
      </c>
      <c r="G27" s="86"/>
      <c r="H27" s="86"/>
      <c r="I27" s="86"/>
      <c r="J27" s="86"/>
      <c r="K27" s="87"/>
      <c r="L27" s="83"/>
      <c r="M27" s="86"/>
      <c r="N27" s="86"/>
      <c r="O27" s="83"/>
      <c r="P27"/>
      <c r="Q27"/>
    </row>
    <row r="28" spans="1:17" ht="50.15" customHeight="1">
      <c r="A28" s="80"/>
      <c r="B28" s="254"/>
      <c r="C28" s="264"/>
      <c r="D28" s="254"/>
      <c r="E28" s="174" t="s">
        <v>1151</v>
      </c>
      <c r="G28" s="140"/>
      <c r="H28" s="140"/>
      <c r="I28" s="140"/>
      <c r="P28"/>
      <c r="Q28"/>
    </row>
    <row r="29" spans="1:17" ht="50.15" customHeight="1">
      <c r="B29" s="254"/>
      <c r="C29" s="264"/>
      <c r="D29" s="254"/>
      <c r="E29" s="174" t="s">
        <v>1152</v>
      </c>
      <c r="G29" s="73"/>
      <c r="H29" s="73"/>
      <c r="I29" s="73"/>
      <c r="P29"/>
      <c r="Q29"/>
    </row>
    <row r="30" spans="1:17" ht="46.5" customHeight="1">
      <c r="B30" s="255"/>
      <c r="C30" s="265"/>
      <c r="D30" s="255"/>
      <c r="E30" s="112" t="s">
        <v>1153</v>
      </c>
      <c r="G30" s="136"/>
      <c r="H30" s="136"/>
      <c r="I30" s="136"/>
      <c r="P30"/>
      <c r="Q30"/>
    </row>
    <row r="31" spans="1:17" ht="125" customHeight="1">
      <c r="B31" s="274" t="s">
        <v>1331</v>
      </c>
      <c r="C31" s="276" t="s">
        <v>551</v>
      </c>
      <c r="D31" s="305" t="s">
        <v>1341</v>
      </c>
      <c r="E31" s="174" t="s">
        <v>575</v>
      </c>
      <c r="G31" s="140"/>
      <c r="H31" s="140"/>
      <c r="P31"/>
      <c r="Q31"/>
    </row>
    <row r="32" spans="1:17" ht="125" customHeight="1">
      <c r="B32" s="275"/>
      <c r="C32" s="272"/>
      <c r="D32" s="288"/>
      <c r="E32" s="227" t="s">
        <v>1329</v>
      </c>
      <c r="G32" s="140"/>
      <c r="H32" s="140"/>
      <c r="P32"/>
      <c r="Q32"/>
    </row>
    <row r="33" spans="1:17" ht="50.15" customHeight="1">
      <c r="B33" s="253" t="s">
        <v>1347</v>
      </c>
      <c r="C33" s="256" t="s">
        <v>551</v>
      </c>
      <c r="D33" s="253" t="s">
        <v>1485</v>
      </c>
      <c r="E33" s="112" t="s">
        <v>577</v>
      </c>
      <c r="G33" s="73"/>
      <c r="H33" s="73"/>
      <c r="P33"/>
      <c r="Q33"/>
    </row>
    <row r="34" spans="1:17" ht="50.15" customHeight="1">
      <c r="B34" s="254"/>
      <c r="C34" s="271"/>
      <c r="D34" s="254"/>
      <c r="E34" s="112" t="s">
        <v>1154</v>
      </c>
      <c r="G34" s="136"/>
      <c r="H34" s="136"/>
      <c r="P34"/>
      <c r="Q34"/>
    </row>
    <row r="35" spans="1:17" ht="50.15" customHeight="1">
      <c r="B35" s="255"/>
      <c r="C35" s="272"/>
      <c r="D35" s="255"/>
      <c r="E35" s="112" t="s">
        <v>579</v>
      </c>
      <c r="P35"/>
      <c r="Q35"/>
    </row>
    <row r="36" spans="1:17" ht="150" customHeight="1">
      <c r="B36" s="150" t="s">
        <v>1407</v>
      </c>
      <c r="C36" s="151" t="s">
        <v>551</v>
      </c>
      <c r="D36" s="150" t="s">
        <v>1213</v>
      </c>
      <c r="E36" s="112" t="s">
        <v>581</v>
      </c>
      <c r="P36"/>
      <c r="Q36"/>
    </row>
    <row r="37" spans="1:17" ht="92.5" customHeight="1">
      <c r="B37" s="248" t="s">
        <v>1315</v>
      </c>
      <c r="C37" s="259" t="s">
        <v>551</v>
      </c>
      <c r="D37" s="248" t="s">
        <v>1304</v>
      </c>
      <c r="E37" s="174" t="s">
        <v>1297</v>
      </c>
      <c r="P37"/>
      <c r="Q37"/>
    </row>
    <row r="38" spans="1:17" ht="82.5" customHeight="1">
      <c r="B38" s="248"/>
      <c r="C38" s="260"/>
      <c r="D38" s="248"/>
      <c r="E38" s="174" t="s">
        <v>580</v>
      </c>
      <c r="P38"/>
      <c r="Q38"/>
    </row>
    <row r="39" spans="1:17" ht="150" customHeight="1">
      <c r="A39" s="76"/>
      <c r="B39" s="150" t="s">
        <v>1183</v>
      </c>
      <c r="C39" s="161" t="s">
        <v>551</v>
      </c>
      <c r="D39" s="150" t="s">
        <v>1227</v>
      </c>
      <c r="E39" s="221" t="s">
        <v>643</v>
      </c>
      <c r="P39"/>
      <c r="Q39"/>
    </row>
    <row r="40" spans="1:17" ht="150" customHeight="1">
      <c r="A40" s="76"/>
      <c r="B40" s="150" t="s">
        <v>768</v>
      </c>
      <c r="C40" s="161" t="s">
        <v>551</v>
      </c>
      <c r="D40" s="150" t="s">
        <v>1252</v>
      </c>
      <c r="E40" s="216" t="s">
        <v>769</v>
      </c>
      <c r="P40"/>
      <c r="Q40"/>
    </row>
    <row r="41" spans="1:17" ht="150" customHeight="1">
      <c r="A41" s="76"/>
      <c r="B41" s="150" t="s">
        <v>585</v>
      </c>
      <c r="C41" s="161" t="s">
        <v>551</v>
      </c>
      <c r="D41" s="150" t="s">
        <v>1229</v>
      </c>
      <c r="E41" s="216" t="s">
        <v>586</v>
      </c>
      <c r="P41"/>
      <c r="Q41"/>
    </row>
    <row r="42" spans="1:17" ht="150" customHeight="1">
      <c r="A42" s="73"/>
      <c r="B42" s="117" t="s">
        <v>587</v>
      </c>
      <c r="C42" s="119" t="s">
        <v>551</v>
      </c>
      <c r="D42" s="117" t="s">
        <v>1486</v>
      </c>
      <c r="E42" s="174" t="s">
        <v>588</v>
      </c>
      <c r="P42"/>
      <c r="Q42"/>
    </row>
    <row r="43" spans="1:17">
      <c r="A43" s="76"/>
      <c r="B43" s="181"/>
      <c r="C43" s="181"/>
      <c r="D43" s="181"/>
      <c r="E43" s="181"/>
      <c r="P43"/>
      <c r="Q43"/>
    </row>
    <row r="44" spans="1:17" ht="13" customHeight="1">
      <c r="A44" s="73"/>
      <c r="B44" s="181"/>
      <c r="C44" s="181"/>
      <c r="D44" s="181"/>
      <c r="E44" s="181"/>
      <c r="P44"/>
      <c r="Q44"/>
    </row>
    <row r="45" spans="1:17" ht="50.15" customHeight="1">
      <c r="A45" s="73"/>
      <c r="B45" s="250" t="s">
        <v>1155</v>
      </c>
      <c r="C45" s="251"/>
      <c r="D45" s="251"/>
      <c r="E45" s="252"/>
      <c r="P45"/>
      <c r="Q45"/>
    </row>
    <row r="46" spans="1:17" ht="50.15" customHeight="1">
      <c r="A46" s="77"/>
      <c r="B46" s="197" t="s">
        <v>464</v>
      </c>
      <c r="C46" s="197" t="s">
        <v>548</v>
      </c>
      <c r="D46" s="197" t="s">
        <v>423</v>
      </c>
      <c r="E46" s="197" t="s">
        <v>634</v>
      </c>
      <c r="P46"/>
      <c r="Q46"/>
    </row>
    <row r="47" spans="1:17" ht="150" customHeight="1">
      <c r="A47" s="76"/>
      <c r="B47" s="117" t="s">
        <v>1156</v>
      </c>
      <c r="C47" s="119" t="s">
        <v>551</v>
      </c>
      <c r="D47" s="103" t="s">
        <v>1157</v>
      </c>
      <c r="E47" s="112" t="s">
        <v>1158</v>
      </c>
      <c r="P47"/>
      <c r="Q47"/>
    </row>
    <row r="48" spans="1:17" ht="150" customHeight="1">
      <c r="A48" s="76"/>
      <c r="B48" s="117" t="s">
        <v>1487</v>
      </c>
      <c r="C48" s="119" t="s">
        <v>551</v>
      </c>
      <c r="D48" s="103" t="s">
        <v>1159</v>
      </c>
      <c r="E48" s="174" t="s">
        <v>1160</v>
      </c>
      <c r="P48"/>
      <c r="Q48"/>
    </row>
    <row r="49" spans="1:17" ht="75" customHeight="1">
      <c r="A49" s="70"/>
      <c r="B49" s="253" t="s">
        <v>1214</v>
      </c>
      <c r="C49" s="263" t="s">
        <v>551</v>
      </c>
      <c r="D49" s="253" t="s">
        <v>1161</v>
      </c>
      <c r="E49" s="174" t="s">
        <v>1162</v>
      </c>
      <c r="P49"/>
      <c r="Q49"/>
    </row>
    <row r="50" spans="1:17" ht="75" customHeight="1">
      <c r="A50" s="70"/>
      <c r="B50" s="255"/>
      <c r="C50" s="265"/>
      <c r="D50" s="255"/>
      <c r="E50" s="112" t="s">
        <v>582</v>
      </c>
      <c r="P50"/>
      <c r="Q50"/>
    </row>
    <row r="51" spans="1:17" ht="155" customHeight="1">
      <c r="B51" s="117" t="s">
        <v>1163</v>
      </c>
      <c r="C51" s="119" t="s">
        <v>551</v>
      </c>
      <c r="D51" s="103" t="s">
        <v>1164</v>
      </c>
      <c r="E51" s="112" t="s">
        <v>1165</v>
      </c>
      <c r="O51" s="24"/>
      <c r="Q51"/>
    </row>
    <row r="52" spans="1:17" ht="150" customHeight="1">
      <c r="B52" s="117" t="s">
        <v>1216</v>
      </c>
      <c r="C52" s="119" t="s">
        <v>551</v>
      </c>
      <c r="D52" s="117" t="s">
        <v>1215</v>
      </c>
      <c r="E52" s="174" t="s">
        <v>1166</v>
      </c>
      <c r="O52" s="24"/>
      <c r="Q52"/>
    </row>
    <row r="53" spans="1:17" ht="75" customHeight="1">
      <c r="B53" s="253" t="s">
        <v>1167</v>
      </c>
      <c r="C53" s="263" t="s">
        <v>551</v>
      </c>
      <c r="D53" s="253" t="s">
        <v>1301</v>
      </c>
      <c r="E53" s="174" t="s">
        <v>1168</v>
      </c>
      <c r="O53" s="24"/>
      <c r="Q53"/>
    </row>
    <row r="54" spans="1:17" ht="75" customHeight="1">
      <c r="B54" s="255"/>
      <c r="C54" s="265"/>
      <c r="D54" s="255"/>
      <c r="E54" s="174" t="s">
        <v>1169</v>
      </c>
      <c r="O54" s="24"/>
      <c r="Q54"/>
    </row>
    <row r="55" spans="1:17" ht="150" customHeight="1">
      <c r="B55" s="117" t="s">
        <v>1407</v>
      </c>
      <c r="C55" s="119" t="s">
        <v>551</v>
      </c>
      <c r="D55" s="103" t="s">
        <v>1217</v>
      </c>
      <c r="E55" s="174" t="s">
        <v>1170</v>
      </c>
      <c r="O55" s="24"/>
      <c r="Q55"/>
    </row>
    <row r="56" spans="1:17" ht="75" customHeight="1">
      <c r="B56" s="253" t="s">
        <v>1446</v>
      </c>
      <c r="C56" s="263" t="s">
        <v>551</v>
      </c>
      <c r="D56" s="253" t="s">
        <v>1171</v>
      </c>
      <c r="E56" s="174" t="s">
        <v>1172</v>
      </c>
      <c r="O56" s="24"/>
      <c r="Q56"/>
    </row>
    <row r="57" spans="1:17" ht="75" customHeight="1">
      <c r="B57" s="255"/>
      <c r="C57" s="265"/>
      <c r="D57" s="255"/>
      <c r="E57" s="174" t="s">
        <v>1173</v>
      </c>
      <c r="O57" s="24"/>
      <c r="Q57"/>
    </row>
    <row r="58" spans="1:17" ht="150" customHeight="1">
      <c r="B58" s="117" t="s">
        <v>1488</v>
      </c>
      <c r="C58" s="119" t="s">
        <v>551</v>
      </c>
      <c r="D58" s="117" t="s">
        <v>1302</v>
      </c>
      <c r="E58" s="174" t="s">
        <v>1303</v>
      </c>
      <c r="O58" s="24"/>
      <c r="Q58"/>
    </row>
    <row r="59" spans="1:17" ht="150" customHeight="1">
      <c r="B59" s="228" t="s">
        <v>1174</v>
      </c>
      <c r="C59" s="118" t="s">
        <v>551</v>
      </c>
      <c r="D59" s="117" t="s">
        <v>1292</v>
      </c>
      <c r="E59" s="174" t="s">
        <v>1175</v>
      </c>
      <c r="O59" s="24"/>
      <c r="Q59"/>
    </row>
    <row r="60" spans="1:17" ht="150" customHeight="1">
      <c r="B60" s="228" t="s">
        <v>1174</v>
      </c>
      <c r="C60" s="118" t="s">
        <v>551</v>
      </c>
      <c r="D60" s="117" t="s">
        <v>1286</v>
      </c>
      <c r="E60" s="174" t="s">
        <v>1176</v>
      </c>
    </row>
    <row r="61" spans="1:17" ht="150" customHeight="1">
      <c r="B61" s="188" t="s">
        <v>1177</v>
      </c>
      <c r="C61" s="118" t="s">
        <v>551</v>
      </c>
      <c r="D61" s="117" t="s">
        <v>1288</v>
      </c>
      <c r="E61" s="174" t="s">
        <v>1178</v>
      </c>
    </row>
    <row r="62" spans="1:17" ht="150" customHeight="1">
      <c r="B62" s="103" t="s">
        <v>1179</v>
      </c>
      <c r="C62" s="118" t="s">
        <v>551</v>
      </c>
      <c r="D62" s="117" t="s">
        <v>1289</v>
      </c>
      <c r="E62" s="227" t="s">
        <v>1180</v>
      </c>
    </row>
    <row r="63" spans="1:17" ht="150" customHeight="1">
      <c r="B63" s="103" t="s">
        <v>1291</v>
      </c>
      <c r="C63" s="118" t="s">
        <v>551</v>
      </c>
      <c r="D63" s="117" t="s">
        <v>1290</v>
      </c>
      <c r="E63" s="227" t="s">
        <v>1181</v>
      </c>
    </row>
    <row r="64" spans="1:17" ht="11.5" customHeight="1">
      <c r="D64" s="74"/>
      <c r="O64" s="24"/>
      <c r="Q64"/>
    </row>
  </sheetData>
  <mergeCells count="32">
    <mergeCell ref="C56:C57"/>
    <mergeCell ref="B17:B18"/>
    <mergeCell ref="D17:D18"/>
    <mergeCell ref="C17:C18"/>
    <mergeCell ref="C33:C35"/>
    <mergeCell ref="B56:B57"/>
    <mergeCell ref="D56:D57"/>
    <mergeCell ref="B37:B38"/>
    <mergeCell ref="D37:D38"/>
    <mergeCell ref="B45:E45"/>
    <mergeCell ref="C37:C38"/>
    <mergeCell ref="B53:B54"/>
    <mergeCell ref="D53:D54"/>
    <mergeCell ref="C53:C54"/>
    <mergeCell ref="B49:B50"/>
    <mergeCell ref="D49:D50"/>
    <mergeCell ref="D33:D35"/>
    <mergeCell ref="B13:E13"/>
    <mergeCell ref="B19:B21"/>
    <mergeCell ref="C19:C21"/>
    <mergeCell ref="D19:D21"/>
    <mergeCell ref="B27:B30"/>
    <mergeCell ref="C27:C30"/>
    <mergeCell ref="D27:D30"/>
    <mergeCell ref="D31:D32"/>
    <mergeCell ref="C49:C50"/>
    <mergeCell ref="C4:C5"/>
    <mergeCell ref="C6:C8"/>
    <mergeCell ref="C9:C11"/>
    <mergeCell ref="B33:B35"/>
    <mergeCell ref="B31:B32"/>
    <mergeCell ref="C31:C32"/>
  </mergeCells>
  <conditionalFormatting sqref="A39:A45">
    <cfRule type="containsText" dxfId="38" priority="1" operator="containsText" text="No Aplica">
      <formula>NOT(ISERROR(SEARCH("No Aplica",A39)))</formula>
    </cfRule>
    <cfRule type="containsText" dxfId="37" priority="2" operator="containsText" text="Seleccionar">
      <formula>NOT(ISERROR(SEARCH("Seleccionar",A39)))</formula>
    </cfRule>
    <cfRule type="containsText" dxfId="36" priority="3" operator="containsText" text="Parcialmente Cumple">
      <formula>NOT(ISERROR(SEARCH("Parcialmente Cumple",A39)))</formula>
    </cfRule>
    <cfRule type="containsText" dxfId="35" priority="4" operator="containsText" text="No Cumple">
      <formula>NOT(ISERROR(SEARCH("No Cumple",A39)))</formula>
    </cfRule>
    <cfRule type="beginsWith" dxfId="34" priority="5" operator="beginsWith" text="Cumple">
      <formula>LEFT(A39,LEN("Cumple"))="Cumple"</formula>
    </cfRule>
  </conditionalFormatting>
  <conditionalFormatting sqref="C3:C11">
    <cfRule type="containsText" dxfId="33" priority="26" operator="containsText" text="No Aplica">
      <formula>NOT(ISERROR(SEARCH("No Aplica",C3)))</formula>
    </cfRule>
    <cfRule type="containsText" dxfId="32" priority="27" operator="containsText" text="Pendiente">
      <formula>NOT(ISERROR(SEARCH("Pendiente",C3)))</formula>
    </cfRule>
    <cfRule type="containsText" dxfId="31" priority="28" operator="containsText" text="Parcialmente Cumple">
      <formula>NOT(ISERROR(SEARCH("Parcialmente Cumple",C3)))</formula>
    </cfRule>
    <cfRule type="containsText" dxfId="30" priority="29" operator="containsText" text="No Cumple">
      <formula>NOT(ISERROR(SEARCH("No Cumple",C3)))</formula>
    </cfRule>
    <cfRule type="beginsWith" dxfId="29" priority="30" operator="beginsWith" text="Cumple">
      <formula>LEFT(C3,LEN("Cumple"))="Cumple"</formula>
    </cfRule>
  </conditionalFormatting>
  <conditionalFormatting sqref="D14:D19">
    <cfRule type="containsText" dxfId="28" priority="16" operator="containsText" text="No Aplica">
      <formula>NOT(ISERROR(SEARCH("No Aplica",D14)))</formula>
    </cfRule>
    <cfRule type="containsText" dxfId="27" priority="17" operator="containsText" text="Pendiente">
      <formula>NOT(ISERROR(SEARCH("Pendiente",D14)))</formula>
    </cfRule>
    <cfRule type="containsText" dxfId="26" priority="18" operator="containsText" text="Parcialmente Cumple">
      <formula>NOT(ISERROR(SEARCH("Parcialmente Cumple",D14)))</formula>
    </cfRule>
    <cfRule type="containsText" dxfId="25" priority="19" operator="containsText" text="No Cumple">
      <formula>NOT(ISERROR(SEARCH("No Cumple",D14)))</formula>
    </cfRule>
    <cfRule type="beginsWith" dxfId="24" priority="20" operator="beginsWith" text="Cumple">
      <formula>LEFT(D14,LEN("Cumple"))="Cumple"</formula>
    </cfRule>
  </conditionalFormatting>
  <conditionalFormatting sqref="D23:D26">
    <cfRule type="containsText" dxfId="23" priority="36" operator="containsText" text="No Aplica">
      <formula>NOT(ISERROR(SEARCH("No Aplica",D23)))</formula>
    </cfRule>
    <cfRule type="containsText" dxfId="22" priority="37" operator="containsText" text="Pendiente">
      <formula>NOT(ISERROR(SEARCH("Pendiente",D23)))</formula>
    </cfRule>
    <cfRule type="containsText" dxfId="21" priority="38" operator="containsText" text="Parcialmente Cumple">
      <formula>NOT(ISERROR(SEARCH("Parcialmente Cumple",D23)))</formula>
    </cfRule>
    <cfRule type="containsText" dxfId="20" priority="39" operator="containsText" text="No Cumple">
      <formula>NOT(ISERROR(SEARCH("No Cumple",D23)))</formula>
    </cfRule>
    <cfRule type="beginsWith" dxfId="19" priority="40" operator="beginsWith" text="Cumple">
      <formula>LEFT(D23,LEN("Cumple"))="Cumple"</formula>
    </cfRule>
  </conditionalFormatting>
  <conditionalFormatting sqref="D33:D38">
    <cfRule type="containsText" dxfId="18" priority="31" operator="containsText" text="No Aplica">
      <formula>NOT(ISERROR(SEARCH("No Aplica",D33)))</formula>
    </cfRule>
    <cfRule type="containsText" dxfId="17" priority="32" operator="containsText" text="Pendiente">
      <formula>NOT(ISERROR(SEARCH("Pendiente",D33)))</formula>
    </cfRule>
    <cfRule type="containsText" dxfId="16" priority="33" operator="containsText" text="Parcialmente Cumple">
      <formula>NOT(ISERROR(SEARCH("Parcialmente Cumple",D33)))</formula>
    </cfRule>
    <cfRule type="containsText" dxfId="15" priority="34" operator="containsText" text="No Cumple">
      <formula>NOT(ISERROR(SEARCH("No Cumple",D33)))</formula>
    </cfRule>
    <cfRule type="beginsWith" dxfId="14" priority="35" operator="beginsWith" text="Cumple">
      <formula>LEFT(D33,LEN("Cumple"))="Cumple"</formula>
    </cfRule>
  </conditionalFormatting>
  <conditionalFormatting sqref="D46">
    <cfRule type="containsText" dxfId="13" priority="7" operator="containsText" text="Pendiente">
      <formula>NOT(ISERROR(SEARCH("Pendiente",D46)))</formula>
    </cfRule>
    <cfRule type="containsText" dxfId="12" priority="8" operator="containsText" text="Parcialmente Cumple">
      <formula>NOT(ISERROR(SEARCH("Parcialmente Cumple",D46)))</formula>
    </cfRule>
    <cfRule type="containsText" dxfId="11" priority="9" operator="containsText" text="No Cumple">
      <formula>NOT(ISERROR(SEARCH("No Cumple",D46)))</formula>
    </cfRule>
    <cfRule type="beginsWith" dxfId="10" priority="10" operator="beginsWith" text="Cumple">
      <formula>LEFT(D46,LEN("Cumple"))="Cumple"</formula>
    </cfRule>
  </conditionalFormatting>
  <conditionalFormatting sqref="D46:E46">
    <cfRule type="containsText" dxfId="9" priority="6" operator="containsText" text="No Aplica">
      <formula>NOT(ISERROR(SEARCH("No Aplica",D46)))</formula>
    </cfRule>
  </conditionalFormatting>
  <conditionalFormatting sqref="E14">
    <cfRule type="containsText" dxfId="8" priority="21" operator="containsText" text="No Aplica">
      <formula>NOT(ISERROR(SEARCH("No Aplica",E14)))</formula>
    </cfRule>
    <cfRule type="containsText" dxfId="7" priority="22" operator="containsText" text="Seleccionar">
      <formula>NOT(ISERROR(SEARCH("Seleccionar",E14)))</formula>
    </cfRule>
    <cfRule type="containsText" dxfId="6" priority="23" operator="containsText" text="Parcialmente Cumple">
      <formula>NOT(ISERROR(SEARCH("Parcialmente Cumple",E14)))</formula>
    </cfRule>
    <cfRule type="containsText" dxfId="5" priority="24" operator="containsText" text="No Cumple">
      <formula>NOT(ISERROR(SEARCH("No Cumple",E14)))</formula>
    </cfRule>
    <cfRule type="beginsWith" dxfId="4" priority="25" operator="beginsWith" text="Cumple">
      <formula>LEFT(E14,LEN("Cumple"))="Cumple"</formula>
    </cfRule>
  </conditionalFormatting>
  <conditionalFormatting sqref="E46">
    <cfRule type="containsText" dxfId="3" priority="12" operator="containsText" text="Seleccionar">
      <formula>NOT(ISERROR(SEARCH("Seleccionar",E46)))</formula>
    </cfRule>
    <cfRule type="containsText" dxfId="2" priority="13" operator="containsText" text="Parcialmente Cumple">
      <formula>NOT(ISERROR(SEARCH("Parcialmente Cumple",E46)))</formula>
    </cfRule>
    <cfRule type="containsText" dxfId="1" priority="14" operator="containsText" text="No Cumple">
      <formula>NOT(ISERROR(SEARCH("No Cumple",E46)))</formula>
    </cfRule>
    <cfRule type="beginsWith" dxfId="0" priority="15" operator="beginsWith" text="Cumple">
      <formula>LEFT(E46,LEN("Cumple"))="Cumple"</formula>
    </cfRule>
  </conditionalFormatting>
  <hyperlinks>
    <hyperlink ref="E47" r:id="rId1" display="Consulta información del Consorci de Salut i Social de Catalunya"/>
    <hyperlink ref="E48" r:id="rId2" display="https://apdcat.gencat.cat/ca/documentacio/guies_basiques/Guies-apdcat/Guia-proteccio-de-dades-per-a-pacients/index.html"/>
    <hyperlink ref="E49" r:id="rId3" display="Consulta información sobre la Huella de carbono - Ministerio de sanidad"/>
    <hyperlink ref="E51" r:id="rId4" display="Consulta información sobre LEED - Aplicación a proyectos sanitarios"/>
    <hyperlink ref="E52" r:id="rId5" display="https://residus.gencat.cat/ca/ambits_dactuacio/tipus_de_residu/sanitaris/"/>
    <hyperlink ref="E54" r:id="rId6" display="Consulta información sobre Eficiencia energética y renovables en Catalunya"/>
    <hyperlink ref="E55" r:id="rId7" display="Consulta Real Decreto 552/2019 - Gases Refrigerantes"/>
    <hyperlink ref="E56" r:id="rId8" display="Consulta el Checklist para la gestión del agua - CDC"/>
    <hyperlink ref="E57" r:id="rId9" display="Consulta los consejos para reducir el consumo de agua en centros sanitarios"/>
    <hyperlink ref="E58" r:id="rId10" display="Consulta la guía de adquisición sostenible de productos sanitarios"/>
    <hyperlink ref="E30" r:id="rId11" display="Consulta información sobre el Sustainable Packiging Coalition"/>
    <hyperlink ref="E28" r:id="rId12" display="Consulta más información sobre la Economía Circular (Fundación Ellen McArthur)"/>
    <hyperlink ref="E29" r:id="rId13" display="Consulta más información sobre el certificado Cradle to Cradle"/>
    <hyperlink ref="E16" r:id="rId14" display="Consulta información sobre ISO 9001"/>
    <hyperlink ref="E18" r:id="rId15" display="Consulta información sobre ISO 14001"/>
    <hyperlink ref="E19" r:id="rId16" display="Consulta más información sobre el CSRD"/>
    <hyperlink ref="E20" r:id="rId17" display="Consulta ley 11/2018"/>
    <hyperlink ref="E21" r:id="rId18" display="Consulta más información sobre el marco GRI"/>
    <hyperlink ref="E22" r:id="rId19" display="Consulta información sobre el GHG Protocol"/>
    <hyperlink ref="E23" r:id="rId20" display="Consulta el Documento de Referencia sobre las mejores tecnologías disponibles en términos de eficiencia energética"/>
    <hyperlink ref="E26" r:id="rId21" display="Consulta el Real Decreto 901/2020"/>
    <hyperlink ref="E31" r:id="rId22" display="Consulta Ley 7/2022"/>
    <hyperlink ref="E33" r:id="rId23" display="Consulta información sobre el Sustainable Packiging Coalition"/>
    <hyperlink ref="E34" r:id="rId24" display="Consulta información sobre la ley de plásticos de un solo uso"/>
    <hyperlink ref="E35" r:id="rId25" display="Consulta información sobre impuestos sobre los envases de plástico no reutilizables"/>
    <hyperlink ref="E37" r:id="rId26" display="Consulta ISO 20400:2017 sobre adquisición sostenible"/>
    <hyperlink ref="E36" r:id="rId27" display="Consulta información sobre la iniciativa Lean and Green"/>
    <hyperlink ref="E17" r:id="rId28" display="Consulta informació sobre EMAS"/>
    <hyperlink ref="E38" r:id="rId29" display="Consulta información sobre las ecoetiquetas de la UE"/>
    <hyperlink ref="E24" r:id="rId30" display="https://act.gencat.cat/wp-content/uploads/2019/05/CAT-ACT-POL%C3%8DTICA-DE-PRIVACITAT.pdf"/>
    <hyperlink ref="E15" r:id="rId31" display="Consulta més informació sobre el codi de conducta"/>
    <hyperlink ref="E25" r:id="rId32" display="Consulta un exemple de codi de conducta/ètica de proveïdors"/>
    <hyperlink ref="E53" r:id="rId33" display="Consulta informació sobre energies renovables"/>
    <hyperlink ref="E59:E60" r:id="rId34" display="Consulta la guía de adquisición sostenible de productos sanitarios"/>
    <hyperlink ref="E60:E61" r:id="rId35" display="Consulta la guía de adquisición sostenible de productos sanitarios"/>
    <hyperlink ref="E59" r:id="rId36" display="https://drogues.gencat.cat/ca/professionals/prevencio_de_trastorns_mentals/materials/guia/"/>
    <hyperlink ref="E60" r:id="rId37" display="https://treball.gencat.cat/ca/ambits/seguretat_i_salut_laboral/riscos_i_condicions_treball/mesures_per_risc/coronavirus/"/>
    <hyperlink ref="E61" r:id="rId38" display="https://catsalut.gencat.cat/ca/coneix-catsalut/acces-sistema-salut/com-accedeix/index.html"/>
    <hyperlink ref="E62:E63" r:id="rId39" display="Consulta la guía de adquisición sostenible de productos sanitarios"/>
    <hyperlink ref="E62" r:id="rId40" display="https://dretssocials.gencat.cat/ca/ambits_tematics/serveis_socials/pla-estrategic-de-serveis-socials-de-catalunya/PESS2021-24/index.html"/>
    <hyperlink ref="E63" r:id="rId41" display="https://salutweb.gencat.cat/ca/departament/ambits-estrategics/recerca-innovacio/planificacio-gestio/index.html"/>
    <hyperlink ref="E39" r:id="rId42" display="https://treball.gencat.cat/ca/ambits/seguretat_i_salut_laboral/ci_/pla-govern/"/>
    <hyperlink ref="E40" r:id="rId43" display="https://dogc.gencat.cat/ca/document-del-dogc/?documentId=966011"/>
    <hyperlink ref="E41" r:id="rId44" display="https://govern.cat/gov/pla-govern?eix=0&amp;ambit=1"/>
    <hyperlink ref="E50" r:id="rId45" display="https://canviclimatic.gencat.cat/ca/oficina/index.html"/>
    <hyperlink ref="E42" r:id="rId46" display="https://governobert.gencat.cat/ca/detalls/noticia/guia_plansinterdepartamentals"/>
    <hyperlink ref="E27" r:id="rId47"/>
    <hyperlink ref="E32" r:id="rId48"/>
  </hyperlinks>
  <pageMargins left="0.7" right="0.7" top="0.75" bottom="0.75" header="0.3" footer="0.3"/>
  <pageSetup paperSize="9" orientation="portrait" r:id="rId4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4c915b-635a-4a36-9342-3ddf24a08ff9">
      <Terms xmlns="http://schemas.microsoft.com/office/infopath/2007/PartnerControls"/>
    </lcf76f155ced4ddcb4097134ff3c332f>
    <TaxCatchAll xmlns="3244973c-06d6-412e-8ad7-cff8ccdf532b" xsi:nil="true"/>
    <SharedWithUsers xmlns="3244973c-06d6-412e-8ad7-cff8ccdf532b">
      <UserInfo>
        <DisplayName>Scholl, Ramon</DisplayName>
        <AccountId>50</AccountId>
        <AccountType/>
      </UserInfo>
      <UserInfo>
        <DisplayName>Lafarga, Oriol</DisplayName>
        <AccountId>228</AccountId>
        <AccountType/>
      </UserInfo>
      <UserInfo>
        <DisplayName>Sánchez, Clara</DisplayName>
        <AccountId>325</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ADDDEA5DE4D3D46BE4A9A21C25ACFE8" ma:contentTypeVersion="18" ma:contentTypeDescription="Crear nuevo documento." ma:contentTypeScope="" ma:versionID="b8b8734c71f639537eece943a23d48a7">
  <xsd:schema xmlns:xsd="http://www.w3.org/2001/XMLSchema" xmlns:xs="http://www.w3.org/2001/XMLSchema" xmlns:p="http://schemas.microsoft.com/office/2006/metadata/properties" xmlns:ns2="2f4c915b-635a-4a36-9342-3ddf24a08ff9" xmlns:ns3="3244973c-06d6-412e-8ad7-cff8ccdf532b" targetNamespace="http://schemas.microsoft.com/office/2006/metadata/properties" ma:root="true" ma:fieldsID="5c9ed9d5a6b33342446d76a25efad7a2" ns2:_="" ns3:_="">
    <xsd:import namespace="2f4c915b-635a-4a36-9342-3ddf24a08ff9"/>
    <xsd:import namespace="3244973c-06d6-412e-8ad7-cff8ccdf532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4c915b-635a-4a36-9342-3ddf24a08f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da6723e7-ebb4-4c9b-a80e-9b76b7dc40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44973c-06d6-412e-8ad7-cff8ccdf532b"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8b04e14-fc50-421d-b79b-b6805739ed71}" ma:internalName="TaxCatchAll" ma:showField="CatchAllData" ma:web="3244973c-06d6-412e-8ad7-cff8ccdf53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A1361D-D9D5-49AC-BDBA-326A9A237222}">
  <ds:schemaRefs>
    <ds:schemaRef ds:uri="http://schemas.microsoft.com/sharepoint/v3/contenttype/forms"/>
  </ds:schemaRefs>
</ds:datastoreItem>
</file>

<file path=customXml/itemProps2.xml><?xml version="1.0" encoding="utf-8"?>
<ds:datastoreItem xmlns:ds="http://schemas.openxmlformats.org/officeDocument/2006/customXml" ds:itemID="{3D42001D-C70B-4AF7-A326-C1F3B970E825}">
  <ds:schemaRefs>
    <ds:schemaRef ds:uri="http://purl.org/dc/dcmitype/"/>
    <ds:schemaRef ds:uri="http://schemas.microsoft.com/office/2006/documentManagement/types"/>
    <ds:schemaRef ds:uri="3244973c-06d6-412e-8ad7-cff8ccdf532b"/>
    <ds:schemaRef ds:uri="http://purl.org/dc/elements/1.1/"/>
    <ds:schemaRef ds:uri="http://schemas.microsoft.com/office/2006/metadata/properties"/>
    <ds:schemaRef ds:uri="http://purl.org/dc/terms/"/>
    <ds:schemaRef ds:uri="2f4c915b-635a-4a36-9342-3ddf24a08ff9"/>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0635B387-D0E6-4472-A2BE-85753D4894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4c915b-635a-4a36-9342-3ddf24a08ff9"/>
    <ds:schemaRef ds:uri="3244973c-06d6-412e-8ad7-cff8ccdf53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24</vt:i4>
      </vt:variant>
    </vt:vector>
  </HeadingPairs>
  <TitlesOfParts>
    <vt:vector size="24" baseType="lpstr">
      <vt:lpstr>CNAE</vt:lpstr>
      <vt:lpstr>Crèdits</vt:lpstr>
      <vt:lpstr>Mapa de materialitat</vt:lpstr>
      <vt:lpstr>AUTO</vt:lpstr>
      <vt:lpstr>Fuentes</vt:lpstr>
      <vt:lpstr>Aliments i Begudes</vt:lpstr>
      <vt:lpstr>Moda i tèxtil</vt:lpstr>
      <vt:lpstr>Fusta i Paper</vt:lpstr>
      <vt:lpstr>Tractament de Residus i Aigua</vt:lpstr>
      <vt:lpstr>Construcció</vt:lpstr>
      <vt:lpstr>Arquitectura i Enginyeria</vt:lpstr>
      <vt:lpstr>Venda i Reparació de Vehicles</vt:lpstr>
      <vt:lpstr>Comerç a l'engròs</vt:lpstr>
      <vt:lpstr>Comerç al detall</vt:lpstr>
      <vt:lpstr>Transport terrestre</vt:lpstr>
      <vt:lpstr>Transport Ferroviari</vt:lpstr>
      <vt:lpstr>Hoteleria</vt:lpstr>
      <vt:lpstr>Serveis IT</vt:lpstr>
      <vt:lpstr>Serveis Professionals</vt:lpstr>
      <vt:lpstr>Immobiliària</vt:lpstr>
      <vt:lpstr>Publicitat i Màrqueting</vt:lpstr>
      <vt:lpstr>Serveis d'ocupació</vt:lpstr>
      <vt:lpstr>Educació</vt:lpstr>
      <vt:lpstr>Sanitat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Eina d'identificació i priorització d'ASG per a Pimes</dc:title>
  <dc:subject>Eina que facilita l'assistència a les Pimes durant la fase d'identificació i priorització dels temes ASG</dc:subject>
  <dc:creator>Scholl, Ramon</dc:creator>
  <cp:keywords>Sostenibilitat, Pimes, ASG, Industria, Economia Circular</cp:keywords>
  <dc:description/>
  <cp:lastModifiedBy>Ferrer-Vidal Cortella, Virginia</cp:lastModifiedBy>
  <cp:revision/>
  <dcterms:created xsi:type="dcterms:W3CDTF">2023-06-14T11:13:20Z</dcterms:created>
  <dcterms:modified xsi:type="dcterms:W3CDTF">2024-02-20T10:41:06Z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0x0101009ADDDEA5DE4D3D46BE4A9A21C25ACFE8</vt:lpwstr>
  </property>
  <property fmtid="{D5CDD505-2E9C-101B-9397-08002B2CF9AE}" pid="3" name="MediaServiceImageTags">
    <vt:lpwstr/>
  </property>
  <property fmtid="{D5CDD505-2E9C-101B-9397-08002B2CF9AE}" pid="4" name="MSIP_Label_317c35f2-42a0-4fce-9c8a-3f5ff60d5a73_Enabled">
    <vt:lpwstr>true</vt:lpwstr>
  </property>
  <property fmtid="{D5CDD505-2E9C-101B-9397-08002B2CF9AE}" pid="5" name="MSIP_Label_317c35f2-42a0-4fce-9c8a-3f5ff60d5a73_SetDate">
    <vt:lpwstr>2024-02-01T08:50:08Z</vt:lpwstr>
  </property>
  <property fmtid="{D5CDD505-2E9C-101B-9397-08002B2CF9AE}" pid="6" name="MSIP_Label_317c35f2-42a0-4fce-9c8a-3f5ff60d5a73_Method">
    <vt:lpwstr>Standard</vt:lpwstr>
  </property>
  <property fmtid="{D5CDD505-2E9C-101B-9397-08002B2CF9AE}" pid="7" name="MSIP_Label_317c35f2-42a0-4fce-9c8a-3f5ff60d5a73_Name">
    <vt:lpwstr>defa4170-0d19-0005-0004-bc88714345d2</vt:lpwstr>
  </property>
  <property fmtid="{D5CDD505-2E9C-101B-9397-08002B2CF9AE}" pid="8" name="MSIP_Label_317c35f2-42a0-4fce-9c8a-3f5ff60d5a73_SiteId">
    <vt:lpwstr>690a1d34-3736-4566-8b6d-d288e74c0fc6</vt:lpwstr>
  </property>
  <property fmtid="{D5CDD505-2E9C-101B-9397-08002B2CF9AE}" pid="9" name="MSIP_Label_317c35f2-42a0-4fce-9c8a-3f5ff60d5a73_ActionId">
    <vt:lpwstr>897eaac1-163c-41f8-852d-95e85b112d5b</vt:lpwstr>
  </property>
  <property fmtid="{D5CDD505-2E9C-101B-9397-08002B2CF9AE}" pid="10" name="MSIP_Label_317c35f2-42a0-4fce-9c8a-3f5ff60d5a73_ContentBits">
    <vt:lpwstr>0</vt:lpwstr>
  </property>
</Properties>
</file>